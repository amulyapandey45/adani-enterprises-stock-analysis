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roject\"/>
    </mc:Choice>
  </mc:AlternateContent>
  <xr:revisionPtr revIDLastSave="0" documentId="13_ncr:9_{592B253E-E8C3-4C3B-AEA0-D033566C76EE}" xr6:coauthVersionLast="47" xr6:coauthVersionMax="47" xr10:uidLastSave="{00000000-0000-0000-0000-000000000000}"/>
  <bookViews>
    <workbookView xWindow="-110" yWindow="-110" windowWidth="19420" windowHeight="10300" xr2:uid="{E8171776-6B1C-4492-98AE-FF78A7478067}"/>
  </bookViews>
  <sheets>
    <sheet name="Quote-Equity-ADANIENT-EQ-04-12-" sheetId="1" r:id="rId1"/>
  </sheets>
  <calcPr calcId="0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" i="1"/>
</calcChain>
</file>

<file path=xl/sharedStrings.xml><?xml version="1.0" encoding="utf-8"?>
<sst xmlns="http://schemas.openxmlformats.org/spreadsheetml/2006/main" count="267" uniqueCount="18">
  <si>
    <t>DATE</t>
  </si>
  <si>
    <t>SERIES</t>
  </si>
  <si>
    <t>OPEN</t>
  </si>
  <si>
    <t>HIGH</t>
  </si>
  <si>
    <t>LOW</t>
  </si>
  <si>
    <t>PREV. CLOSE</t>
  </si>
  <si>
    <t>LTP</t>
  </si>
  <si>
    <t>CLOSE</t>
  </si>
  <si>
    <t>VWAP</t>
  </si>
  <si>
    <t>52W H</t>
  </si>
  <si>
    <t>52W L</t>
  </si>
  <si>
    <t>VOLUME</t>
  </si>
  <si>
    <t>NO. OF  TRADES</t>
  </si>
  <si>
    <t>EQ</t>
  </si>
  <si>
    <t>DAY</t>
  </si>
  <si>
    <t>MONTH</t>
  </si>
  <si>
    <t>QUARTER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</si>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</sst>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C4EEC-A1B8-4F84-A1A8-2BF2A8A9B90D}">
  <dimension ref="A1:Q251"/>
  <sheetViews>
    <sheetView tabSelected="1" workbookViewId="0">
      <pane ySplit="1" topLeftCell="A2" activePane="bottomLeft" state="frozen"/>
      <selection pane="bottomLeft" activeCell="E1" sqref="E1"/>
    </sheetView>
  </sheetViews>
  <sheetFormatPr defaultRowHeight="14.5" x14ac:dyDescent="0.35"/>
  <cols>
    <col min="1" max="1" width="9.7265625" bestFit="1" customWidth="1"/>
    <col min="2" max="5" width="9.7265625" customWidth="1"/>
    <col min="6" max="6" width="6.26953125" bestFit="1" customWidth="1"/>
    <col min="7" max="9" width="7.81640625" bestFit="1" customWidth="1"/>
    <col min="10" max="10" width="11.1796875" bestFit="1" customWidth="1"/>
    <col min="11" max="15" width="7.81640625" bestFit="1" customWidth="1"/>
    <col min="16" max="16" width="8.08984375" bestFit="1" customWidth="1"/>
    <col min="17" max="17" width="14.1796875" bestFit="1" customWidth="1"/>
  </cols>
  <sheetData>
    <row r="1" spans="1:17" x14ac:dyDescent="0.35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</row>
    <row r="2" spans="1:17" x14ac:dyDescent="0.35">
      <c r="A2" s="1">
        <v>45995</v>
      </c>
      <c r="B2" s="1" t="str">
        <f>TEXT(A2,"DDDD")</f>
        <v>Thursday</v>
      </c>
      <c r="C2" s="1" t="str">
        <f>TEXT(A2,"MMMM")</f>
        <v>December</v>
      </c>
      <c r="D2" s="1" t="str">
        <f>"Q"&amp;ROUNDUP(MONTH(A2)/3,0)</f>
        <v>Q4</v>
      </c>
      <c r="E2" s="1" t="str">
        <f>TEXT(A2,"YYYY")</f>
        <v>2025</v>
      </c>
      <c r="F2" t="s">
        <v>13</v>
      </c>
      <c r="G2" s="2">
        <v>2188</v>
      </c>
      <c r="H2" s="2">
        <v>2231.6999999999998</v>
      </c>
      <c r="I2" s="2">
        <v>2183.4</v>
      </c>
      <c r="J2" s="2">
        <v>2189.8000000000002</v>
      </c>
      <c r="K2" s="2">
        <v>2216.8000000000002</v>
      </c>
      <c r="L2" s="2">
        <v>2217.9</v>
      </c>
      <c r="M2" s="2">
        <v>2212.67</v>
      </c>
      <c r="N2" s="2">
        <v>2695</v>
      </c>
      <c r="O2" s="2">
        <v>2026.55</v>
      </c>
      <c r="P2">
        <v>2522821</v>
      </c>
      <c r="Q2">
        <v>67347</v>
      </c>
    </row>
    <row r="3" spans="1:17" x14ac:dyDescent="0.35">
      <c r="A3" s="1">
        <v>45994</v>
      </c>
      <c r="B3" s="1" t="str">
        <f t="shared" ref="B3:B66" si="0">TEXT(A3,"DDDD")</f>
        <v>Wednesday</v>
      </c>
      <c r="C3" s="1" t="str">
        <f t="shared" ref="C3:C66" si="1">TEXT(A3,"MMMM")</f>
        <v>December</v>
      </c>
      <c r="D3" s="1" t="str">
        <f t="shared" ref="D3:D66" si="2">"Q"&amp;ROUNDUP(MONTH(A3)/3,0)</f>
        <v>Q4</v>
      </c>
      <c r="E3" s="1" t="str">
        <f t="shared" ref="E3:E66" si="3">TEXT(A3,"YYYY")</f>
        <v>2025</v>
      </c>
      <c r="F3" t="s">
        <v>13</v>
      </c>
      <c r="G3" s="2">
        <v>2240</v>
      </c>
      <c r="H3" s="2">
        <v>2245</v>
      </c>
      <c r="I3" s="2">
        <v>2172.1999999999998</v>
      </c>
      <c r="J3" s="2">
        <v>2239.6</v>
      </c>
      <c r="K3" s="2">
        <v>2191.6</v>
      </c>
      <c r="L3" s="2">
        <v>2189.8000000000002</v>
      </c>
      <c r="M3" s="2">
        <v>2204.17</v>
      </c>
      <c r="N3" s="2">
        <v>2695</v>
      </c>
      <c r="O3" s="2">
        <v>2026.55</v>
      </c>
      <c r="P3">
        <v>1643852</v>
      </c>
      <c r="Q3">
        <v>63240</v>
      </c>
    </row>
    <row r="4" spans="1:17" x14ac:dyDescent="0.35">
      <c r="A4" s="1">
        <v>45993</v>
      </c>
      <c r="B4" s="1" t="str">
        <f t="shared" si="0"/>
        <v>Tuesday</v>
      </c>
      <c r="C4" s="1" t="str">
        <f t="shared" si="1"/>
        <v>December</v>
      </c>
      <c r="D4" s="1" t="str">
        <f t="shared" si="2"/>
        <v>Q4</v>
      </c>
      <c r="E4" s="1" t="str">
        <f t="shared" si="3"/>
        <v>2025</v>
      </c>
      <c r="F4" t="s">
        <v>13</v>
      </c>
      <c r="G4" s="2">
        <v>2255</v>
      </c>
      <c r="H4" s="2">
        <v>2267.1999999999998</v>
      </c>
      <c r="I4" s="2">
        <v>2232.1999999999998</v>
      </c>
      <c r="J4" s="2">
        <v>2262</v>
      </c>
      <c r="K4" s="2">
        <v>2239</v>
      </c>
      <c r="L4" s="2">
        <v>2239.6</v>
      </c>
      <c r="M4" s="2">
        <v>2244.6</v>
      </c>
      <c r="N4" s="2">
        <v>2695</v>
      </c>
      <c r="O4" s="2">
        <v>2026.55</v>
      </c>
      <c r="P4">
        <v>1035354</v>
      </c>
      <c r="Q4">
        <v>46209</v>
      </c>
    </row>
    <row r="5" spans="1:17" x14ac:dyDescent="0.35">
      <c r="A5" s="1">
        <v>45992</v>
      </c>
      <c r="B5" s="1" t="str">
        <f t="shared" si="0"/>
        <v>Monday</v>
      </c>
      <c r="C5" s="1" t="str">
        <f t="shared" si="1"/>
        <v>December</v>
      </c>
      <c r="D5" s="1" t="str">
        <f t="shared" si="2"/>
        <v>Q4</v>
      </c>
      <c r="E5" s="1" t="str">
        <f t="shared" si="3"/>
        <v>2025</v>
      </c>
      <c r="F5" t="s">
        <v>13</v>
      </c>
      <c r="G5" s="2">
        <v>2300</v>
      </c>
      <c r="H5" s="2">
        <v>2304</v>
      </c>
      <c r="I5" s="2">
        <v>2257</v>
      </c>
      <c r="J5" s="2">
        <v>2280.1999999999998</v>
      </c>
      <c r="K5" s="2">
        <v>2259.9</v>
      </c>
      <c r="L5" s="2">
        <v>2262</v>
      </c>
      <c r="M5" s="2">
        <v>2277.13</v>
      </c>
      <c r="N5" s="2">
        <v>2695</v>
      </c>
      <c r="O5" s="2">
        <v>2026.55</v>
      </c>
      <c r="P5">
        <v>1313265</v>
      </c>
      <c r="Q5">
        <v>42480</v>
      </c>
    </row>
    <row r="6" spans="1:17" x14ac:dyDescent="0.35">
      <c r="A6" s="1">
        <v>45989</v>
      </c>
      <c r="B6" s="1" t="str">
        <f t="shared" si="0"/>
        <v>Friday</v>
      </c>
      <c r="C6" s="1" t="str">
        <f t="shared" si="1"/>
        <v>November</v>
      </c>
      <c r="D6" s="1" t="str">
        <f t="shared" si="2"/>
        <v>Q4</v>
      </c>
      <c r="E6" s="1" t="str">
        <f t="shared" si="3"/>
        <v>2025</v>
      </c>
      <c r="F6" t="s">
        <v>13</v>
      </c>
      <c r="G6" s="2">
        <v>2267.1</v>
      </c>
      <c r="H6" s="2">
        <v>2331</v>
      </c>
      <c r="I6" s="2">
        <v>2247.8000000000002</v>
      </c>
      <c r="J6" s="2">
        <v>2255</v>
      </c>
      <c r="K6" s="2">
        <v>2282</v>
      </c>
      <c r="L6" s="2">
        <v>2280.1999999999998</v>
      </c>
      <c r="M6" s="2">
        <v>2295.96</v>
      </c>
      <c r="N6" s="2">
        <v>2695</v>
      </c>
      <c r="O6" s="2">
        <v>2026.55</v>
      </c>
      <c r="P6">
        <v>3037620</v>
      </c>
      <c r="Q6">
        <v>86014</v>
      </c>
    </row>
    <row r="7" spans="1:17" x14ac:dyDescent="0.35">
      <c r="A7" s="1">
        <v>45988</v>
      </c>
      <c r="B7" s="1" t="str">
        <f t="shared" si="0"/>
        <v>Thursday</v>
      </c>
      <c r="C7" s="1" t="str">
        <f t="shared" si="1"/>
        <v>November</v>
      </c>
      <c r="D7" s="1" t="str">
        <f t="shared" si="2"/>
        <v>Q4</v>
      </c>
      <c r="E7" s="1" t="str">
        <f t="shared" si="3"/>
        <v>2025</v>
      </c>
      <c r="F7" t="s">
        <v>13</v>
      </c>
      <c r="G7" s="2">
        <v>2310</v>
      </c>
      <c r="H7" s="2">
        <v>2320.5</v>
      </c>
      <c r="I7" s="2">
        <v>2243</v>
      </c>
      <c r="J7" s="2">
        <v>2315</v>
      </c>
      <c r="K7" s="2">
        <v>2249</v>
      </c>
      <c r="L7" s="2">
        <v>2255</v>
      </c>
      <c r="M7" s="2">
        <v>2283.0700000000002</v>
      </c>
      <c r="N7" s="2">
        <v>2695</v>
      </c>
      <c r="O7" s="2">
        <v>2026.55</v>
      </c>
      <c r="P7">
        <v>1474038</v>
      </c>
      <c r="Q7">
        <v>61990</v>
      </c>
    </row>
    <row r="8" spans="1:17" x14ac:dyDescent="0.35">
      <c r="A8" s="1">
        <v>45987</v>
      </c>
      <c r="B8" s="1" t="str">
        <f t="shared" si="0"/>
        <v>Wednesday</v>
      </c>
      <c r="C8" s="1" t="str">
        <f t="shared" si="1"/>
        <v>November</v>
      </c>
      <c r="D8" s="1" t="str">
        <f t="shared" si="2"/>
        <v>Q4</v>
      </c>
      <c r="E8" s="1" t="str">
        <f t="shared" si="3"/>
        <v>2025</v>
      </c>
      <c r="F8" t="s">
        <v>13</v>
      </c>
      <c r="G8" s="2">
        <v>2321.1999999999998</v>
      </c>
      <c r="H8" s="2">
        <v>2357</v>
      </c>
      <c r="I8" s="2">
        <v>2310</v>
      </c>
      <c r="J8" s="2">
        <v>2332.9</v>
      </c>
      <c r="K8" s="2">
        <v>2313.9</v>
      </c>
      <c r="L8" s="2">
        <v>2315</v>
      </c>
      <c r="M8" s="2">
        <v>2334.9499999999998</v>
      </c>
      <c r="N8" s="2">
        <v>2695</v>
      </c>
      <c r="O8" s="2">
        <v>2026.55</v>
      </c>
      <c r="P8">
        <v>1026965</v>
      </c>
      <c r="Q8">
        <v>47392</v>
      </c>
    </row>
    <row r="9" spans="1:17" x14ac:dyDescent="0.35">
      <c r="A9" s="1">
        <v>45986</v>
      </c>
      <c r="B9" s="1" t="str">
        <f t="shared" si="0"/>
        <v>Tuesday</v>
      </c>
      <c r="C9" s="1" t="str">
        <f t="shared" si="1"/>
        <v>November</v>
      </c>
      <c r="D9" s="1" t="str">
        <f t="shared" si="2"/>
        <v>Q4</v>
      </c>
      <c r="E9" s="1" t="str">
        <f t="shared" si="3"/>
        <v>2025</v>
      </c>
      <c r="F9" t="s">
        <v>13</v>
      </c>
      <c r="G9" s="2">
        <v>2400.9</v>
      </c>
      <c r="H9" s="2">
        <v>2407.6999999999998</v>
      </c>
      <c r="I9" s="2">
        <v>2325.3000000000002</v>
      </c>
      <c r="J9" s="2">
        <v>2399.1999999999998</v>
      </c>
      <c r="K9" s="2">
        <v>2329.4</v>
      </c>
      <c r="L9" s="2">
        <v>2332.9</v>
      </c>
      <c r="M9" s="2">
        <v>2364.69</v>
      </c>
      <c r="N9" s="2">
        <v>2695</v>
      </c>
      <c r="O9" s="2">
        <v>2026.55</v>
      </c>
      <c r="P9">
        <v>2223715</v>
      </c>
      <c r="Q9">
        <v>69285</v>
      </c>
    </row>
    <row r="10" spans="1:17" x14ac:dyDescent="0.35">
      <c r="A10" s="1">
        <v>45985</v>
      </c>
      <c r="B10" s="1" t="str">
        <f t="shared" si="0"/>
        <v>Monday</v>
      </c>
      <c r="C10" s="1" t="str">
        <f t="shared" si="1"/>
        <v>November</v>
      </c>
      <c r="D10" s="1" t="str">
        <f t="shared" si="2"/>
        <v>Q4</v>
      </c>
      <c r="E10" s="1" t="str">
        <f t="shared" si="3"/>
        <v>2025</v>
      </c>
      <c r="F10" t="s">
        <v>13</v>
      </c>
      <c r="G10" s="2">
        <v>2426.1999999999998</v>
      </c>
      <c r="H10" s="2">
        <v>2432.3000000000002</v>
      </c>
      <c r="I10" s="2">
        <v>2393.1</v>
      </c>
      <c r="J10" s="2">
        <v>2422.3000000000002</v>
      </c>
      <c r="K10" s="2">
        <v>2398.9</v>
      </c>
      <c r="L10" s="2">
        <v>2399.1999999999998</v>
      </c>
      <c r="M10" s="2">
        <v>2409.75</v>
      </c>
      <c r="N10" s="2">
        <v>2695</v>
      </c>
      <c r="O10" s="2">
        <v>2026.55</v>
      </c>
      <c r="P10">
        <v>691419</v>
      </c>
      <c r="Q10">
        <v>32464</v>
      </c>
    </row>
    <row r="11" spans="1:17" x14ac:dyDescent="0.35">
      <c r="A11" s="1">
        <v>45982</v>
      </c>
      <c r="B11" s="1" t="str">
        <f t="shared" si="0"/>
        <v>Friday</v>
      </c>
      <c r="C11" s="1" t="str">
        <f t="shared" si="1"/>
        <v>November</v>
      </c>
      <c r="D11" s="1" t="str">
        <f t="shared" si="2"/>
        <v>Q4</v>
      </c>
      <c r="E11" s="1" t="str">
        <f t="shared" si="3"/>
        <v>2025</v>
      </c>
      <c r="F11" t="s">
        <v>13</v>
      </c>
      <c r="G11" s="2">
        <v>2450</v>
      </c>
      <c r="H11" s="2">
        <v>2456.1999999999998</v>
      </c>
      <c r="I11" s="2">
        <v>2418</v>
      </c>
      <c r="J11" s="2">
        <v>2446.1</v>
      </c>
      <c r="K11" s="2">
        <v>2419</v>
      </c>
      <c r="L11" s="2">
        <v>2422.3000000000002</v>
      </c>
      <c r="M11" s="2">
        <v>2433.91</v>
      </c>
      <c r="N11" s="2">
        <v>2894.8</v>
      </c>
      <c r="O11" s="2">
        <v>2025</v>
      </c>
      <c r="P11">
        <v>547541</v>
      </c>
      <c r="Q11">
        <v>23006</v>
      </c>
    </row>
    <row r="12" spans="1:17" x14ac:dyDescent="0.35">
      <c r="A12" s="1">
        <v>45981</v>
      </c>
      <c r="B12" s="1" t="str">
        <f t="shared" si="0"/>
        <v>Thursday</v>
      </c>
      <c r="C12" s="1" t="str">
        <f t="shared" si="1"/>
        <v>November</v>
      </c>
      <c r="D12" s="1" t="str">
        <f t="shared" si="2"/>
        <v>Q4</v>
      </c>
      <c r="E12" s="1" t="str">
        <f t="shared" si="3"/>
        <v>2025</v>
      </c>
      <c r="F12" t="s">
        <v>13</v>
      </c>
      <c r="G12" s="2">
        <v>2450.1</v>
      </c>
      <c r="H12" s="2">
        <v>2478.9</v>
      </c>
      <c r="I12" s="2">
        <v>2440.4</v>
      </c>
      <c r="J12" s="2">
        <v>2433.1</v>
      </c>
      <c r="K12" s="2">
        <v>2448</v>
      </c>
      <c r="L12" s="2">
        <v>2446.1</v>
      </c>
      <c r="M12" s="2">
        <v>2456.6799999999998</v>
      </c>
      <c r="N12" s="2">
        <v>2894.8</v>
      </c>
      <c r="O12" s="2">
        <v>2025</v>
      </c>
      <c r="P12">
        <v>1526556</v>
      </c>
      <c r="Q12">
        <v>49383</v>
      </c>
    </row>
    <row r="13" spans="1:17" x14ac:dyDescent="0.35">
      <c r="A13" s="1">
        <v>45980</v>
      </c>
      <c r="B13" s="1" t="str">
        <f t="shared" si="0"/>
        <v>Wednesday</v>
      </c>
      <c r="C13" s="1" t="str">
        <f t="shared" si="1"/>
        <v>November</v>
      </c>
      <c r="D13" s="1" t="str">
        <f t="shared" si="2"/>
        <v>Q4</v>
      </c>
      <c r="E13" s="1" t="str">
        <f t="shared" si="3"/>
        <v>2025</v>
      </c>
      <c r="F13" t="s">
        <v>13</v>
      </c>
      <c r="G13" s="2">
        <v>2446.5</v>
      </c>
      <c r="H13" s="2">
        <v>2449.9</v>
      </c>
      <c r="I13" s="2">
        <v>2413.9</v>
      </c>
      <c r="J13" s="2">
        <v>2436.8000000000002</v>
      </c>
      <c r="K13" s="2">
        <v>2431</v>
      </c>
      <c r="L13" s="2">
        <v>2433.1</v>
      </c>
      <c r="M13" s="2">
        <v>2432.6</v>
      </c>
      <c r="N13" s="2">
        <v>2894.8</v>
      </c>
      <c r="O13" s="2">
        <v>2025</v>
      </c>
      <c r="P13">
        <v>774785</v>
      </c>
      <c r="Q13">
        <v>29152</v>
      </c>
    </row>
    <row r="14" spans="1:17" x14ac:dyDescent="0.35">
      <c r="A14" s="1">
        <v>45979</v>
      </c>
      <c r="B14" s="1" t="str">
        <f t="shared" si="0"/>
        <v>Tuesday</v>
      </c>
      <c r="C14" s="1" t="str">
        <f t="shared" si="1"/>
        <v>November</v>
      </c>
      <c r="D14" s="1" t="str">
        <f t="shared" si="2"/>
        <v>Q4</v>
      </c>
      <c r="E14" s="1" t="str">
        <f t="shared" si="3"/>
        <v>2025</v>
      </c>
      <c r="F14" t="s">
        <v>13</v>
      </c>
      <c r="G14" s="2">
        <v>2462</v>
      </c>
      <c r="H14" s="2">
        <v>2478.6</v>
      </c>
      <c r="I14" s="2">
        <v>2434.3000000000002</v>
      </c>
      <c r="J14" s="2">
        <v>2462</v>
      </c>
      <c r="K14" s="2">
        <v>2439</v>
      </c>
      <c r="L14" s="2">
        <v>2436.8000000000002</v>
      </c>
      <c r="M14" s="2">
        <v>2448.31</v>
      </c>
      <c r="N14" s="2">
        <v>2894.8</v>
      </c>
      <c r="O14" s="2">
        <v>2025</v>
      </c>
      <c r="P14">
        <v>1245215</v>
      </c>
      <c r="Q14">
        <v>33053</v>
      </c>
    </row>
    <row r="15" spans="1:17" x14ac:dyDescent="0.35">
      <c r="A15" s="1">
        <v>45978</v>
      </c>
      <c r="B15" s="1" t="str">
        <f t="shared" si="0"/>
        <v>Monday</v>
      </c>
      <c r="C15" s="1" t="str">
        <f t="shared" si="1"/>
        <v>November</v>
      </c>
      <c r="D15" s="1" t="str">
        <f t="shared" si="2"/>
        <v>Q4</v>
      </c>
      <c r="E15" s="1" t="str">
        <f t="shared" si="3"/>
        <v>2025</v>
      </c>
      <c r="F15" t="s">
        <v>13</v>
      </c>
      <c r="G15" s="2">
        <v>2460</v>
      </c>
      <c r="H15" s="2">
        <v>2474.9</v>
      </c>
      <c r="I15" s="2">
        <v>2421</v>
      </c>
      <c r="J15" s="2">
        <v>2516.8000000000002</v>
      </c>
      <c r="K15" s="2">
        <v>2466.8000000000002</v>
      </c>
      <c r="L15" s="2">
        <v>2462</v>
      </c>
      <c r="M15" s="2">
        <v>2448.66</v>
      </c>
      <c r="N15" s="2">
        <v>2894.8</v>
      </c>
      <c r="O15" s="2">
        <v>2025</v>
      </c>
      <c r="P15">
        <v>2672697</v>
      </c>
      <c r="Q15">
        <v>64529</v>
      </c>
    </row>
    <row r="16" spans="1:17" x14ac:dyDescent="0.35">
      <c r="A16" s="1">
        <v>45975</v>
      </c>
      <c r="B16" s="1" t="str">
        <f t="shared" si="0"/>
        <v>Friday</v>
      </c>
      <c r="C16" s="1" t="str">
        <f t="shared" si="1"/>
        <v>November</v>
      </c>
      <c r="D16" s="1" t="str">
        <f t="shared" si="2"/>
        <v>Q4</v>
      </c>
      <c r="E16" s="1" t="str">
        <f t="shared" si="3"/>
        <v>2025</v>
      </c>
      <c r="F16" t="s">
        <v>13</v>
      </c>
      <c r="G16" s="2">
        <v>2500</v>
      </c>
      <c r="H16" s="2">
        <v>2553.6999999999998</v>
      </c>
      <c r="I16" s="2">
        <v>2481</v>
      </c>
      <c r="J16" s="2">
        <v>2488.1999999999998</v>
      </c>
      <c r="K16" s="2">
        <v>2524.1</v>
      </c>
      <c r="L16" s="2">
        <v>2516.8000000000002</v>
      </c>
      <c r="M16" s="2">
        <v>2524.48</v>
      </c>
      <c r="N16" s="2">
        <v>2946.8</v>
      </c>
      <c r="O16" s="2">
        <v>2025</v>
      </c>
      <c r="P16">
        <v>4496233</v>
      </c>
      <c r="Q16">
        <v>98231</v>
      </c>
    </row>
    <row r="17" spans="1:17" x14ac:dyDescent="0.35">
      <c r="A17" s="1">
        <v>45974</v>
      </c>
      <c r="B17" s="1" t="str">
        <f t="shared" si="0"/>
        <v>Thursday</v>
      </c>
      <c r="C17" s="1" t="str">
        <f t="shared" si="1"/>
        <v>November</v>
      </c>
      <c r="D17" s="1" t="str">
        <f t="shared" si="2"/>
        <v>Q4</v>
      </c>
      <c r="E17" s="1" t="str">
        <f t="shared" si="3"/>
        <v>2025</v>
      </c>
      <c r="F17" t="s">
        <v>13</v>
      </c>
      <c r="G17" s="2">
        <v>2502</v>
      </c>
      <c r="H17" s="2">
        <v>2525</v>
      </c>
      <c r="I17" s="2">
        <v>2468.1</v>
      </c>
      <c r="J17" s="2">
        <v>2484.5</v>
      </c>
      <c r="K17" s="2">
        <v>2488</v>
      </c>
      <c r="L17" s="2">
        <v>2488.1999999999998</v>
      </c>
      <c r="M17" s="2">
        <v>2495.2600000000002</v>
      </c>
      <c r="N17" s="2">
        <v>2946.8</v>
      </c>
      <c r="O17" s="2">
        <v>2025</v>
      </c>
      <c r="P17">
        <v>2706326</v>
      </c>
      <c r="Q17">
        <v>69562</v>
      </c>
    </row>
    <row r="18" spans="1:17" x14ac:dyDescent="0.35">
      <c r="A18" s="1">
        <v>45973</v>
      </c>
      <c r="B18" s="1" t="str">
        <f t="shared" si="0"/>
        <v>Wednesday</v>
      </c>
      <c r="C18" s="1" t="str">
        <f t="shared" si="1"/>
        <v>November</v>
      </c>
      <c r="D18" s="1" t="str">
        <f t="shared" si="2"/>
        <v>Q4</v>
      </c>
      <c r="E18" s="1" t="str">
        <f t="shared" si="3"/>
        <v>2025</v>
      </c>
      <c r="F18" t="s">
        <v>13</v>
      </c>
      <c r="G18" s="2">
        <v>2384</v>
      </c>
      <c r="H18" s="2">
        <v>2517.5</v>
      </c>
      <c r="I18" s="2">
        <v>2361</v>
      </c>
      <c r="J18" s="2">
        <v>2366.8000000000002</v>
      </c>
      <c r="K18" s="2">
        <v>2485.1999999999998</v>
      </c>
      <c r="L18" s="2">
        <v>2484.5</v>
      </c>
      <c r="M18" s="2">
        <v>2468.19</v>
      </c>
      <c r="N18" s="2">
        <v>2946.8</v>
      </c>
      <c r="O18" s="2">
        <v>2025</v>
      </c>
      <c r="P18">
        <v>6685426</v>
      </c>
      <c r="Q18">
        <v>166963</v>
      </c>
    </row>
    <row r="19" spans="1:17" x14ac:dyDescent="0.35">
      <c r="A19" s="1">
        <v>45972</v>
      </c>
      <c r="B19" s="1" t="str">
        <f t="shared" si="0"/>
        <v>Tuesday</v>
      </c>
      <c r="C19" s="1" t="str">
        <f t="shared" si="1"/>
        <v>November</v>
      </c>
      <c r="D19" s="1" t="str">
        <f t="shared" si="2"/>
        <v>Q4</v>
      </c>
      <c r="E19" s="1" t="str">
        <f t="shared" si="3"/>
        <v>2025</v>
      </c>
      <c r="F19" t="s">
        <v>13</v>
      </c>
      <c r="G19" s="2">
        <v>2368</v>
      </c>
      <c r="H19" s="2">
        <v>2378.9</v>
      </c>
      <c r="I19" s="2">
        <v>2338.5</v>
      </c>
      <c r="J19" s="2">
        <v>2370.6999999999998</v>
      </c>
      <c r="K19" s="2">
        <v>2370.1999999999998</v>
      </c>
      <c r="L19" s="2">
        <v>2366.8000000000002</v>
      </c>
      <c r="M19" s="2">
        <v>2359.2800000000002</v>
      </c>
      <c r="N19" s="2">
        <v>2946.8</v>
      </c>
      <c r="O19" s="2">
        <v>2025</v>
      </c>
      <c r="P19">
        <v>634172</v>
      </c>
      <c r="Q19">
        <v>33161</v>
      </c>
    </row>
    <row r="20" spans="1:17" x14ac:dyDescent="0.35">
      <c r="A20" s="1">
        <v>45971</v>
      </c>
      <c r="B20" s="1" t="str">
        <f t="shared" si="0"/>
        <v>Monday</v>
      </c>
      <c r="C20" s="1" t="str">
        <f t="shared" si="1"/>
        <v>November</v>
      </c>
      <c r="D20" s="1" t="str">
        <f t="shared" si="2"/>
        <v>Q4</v>
      </c>
      <c r="E20" s="1" t="str">
        <f t="shared" si="3"/>
        <v>2025</v>
      </c>
      <c r="F20" t="s">
        <v>13</v>
      </c>
      <c r="G20" s="2">
        <v>2380.9</v>
      </c>
      <c r="H20" s="2">
        <v>2388</v>
      </c>
      <c r="I20" s="2">
        <v>2364</v>
      </c>
      <c r="J20" s="2">
        <v>2369.4</v>
      </c>
      <c r="K20" s="2">
        <v>2365</v>
      </c>
      <c r="L20" s="2">
        <v>2370.6999999999998</v>
      </c>
      <c r="M20" s="2">
        <v>2374.4299999999998</v>
      </c>
      <c r="N20" s="2">
        <v>2946.8</v>
      </c>
      <c r="O20" s="2">
        <v>2025</v>
      </c>
      <c r="P20">
        <v>559808</v>
      </c>
      <c r="Q20">
        <v>30696</v>
      </c>
    </row>
    <row r="21" spans="1:17" x14ac:dyDescent="0.35">
      <c r="A21" s="1">
        <v>45968</v>
      </c>
      <c r="B21" s="1" t="str">
        <f t="shared" si="0"/>
        <v>Friday</v>
      </c>
      <c r="C21" s="1" t="str">
        <f t="shared" si="1"/>
        <v>November</v>
      </c>
      <c r="D21" s="1" t="str">
        <f t="shared" si="2"/>
        <v>Q4</v>
      </c>
      <c r="E21" s="1" t="str">
        <f t="shared" si="3"/>
        <v>2025</v>
      </c>
      <c r="F21" t="s">
        <v>13</v>
      </c>
      <c r="G21" s="2">
        <v>2315</v>
      </c>
      <c r="H21" s="2">
        <v>2402.5</v>
      </c>
      <c r="I21" s="2">
        <v>2291.4</v>
      </c>
      <c r="J21" s="2">
        <v>2314.3000000000002</v>
      </c>
      <c r="K21" s="2">
        <v>2374.8000000000002</v>
      </c>
      <c r="L21" s="2">
        <v>2369.4</v>
      </c>
      <c r="M21" s="2">
        <v>2362.9899999999998</v>
      </c>
      <c r="N21" s="2">
        <v>3070</v>
      </c>
      <c r="O21" s="2">
        <v>2025</v>
      </c>
      <c r="P21">
        <v>2232889</v>
      </c>
      <c r="Q21">
        <v>69168</v>
      </c>
    </row>
    <row r="22" spans="1:17" x14ac:dyDescent="0.35">
      <c r="A22" s="1">
        <v>45967</v>
      </c>
      <c r="B22" s="1" t="str">
        <f t="shared" si="0"/>
        <v>Thursday</v>
      </c>
      <c r="C22" s="1" t="str">
        <f t="shared" si="1"/>
        <v>November</v>
      </c>
      <c r="D22" s="1" t="str">
        <f t="shared" si="2"/>
        <v>Q4</v>
      </c>
      <c r="E22" s="1" t="str">
        <f t="shared" si="3"/>
        <v>2025</v>
      </c>
      <c r="F22" t="s">
        <v>13</v>
      </c>
      <c r="G22" s="2">
        <v>2425.1</v>
      </c>
      <c r="H22" s="2">
        <v>2427.1</v>
      </c>
      <c r="I22" s="2">
        <v>2307.6</v>
      </c>
      <c r="J22" s="2">
        <v>2419.8000000000002</v>
      </c>
      <c r="K22" s="2">
        <v>2311</v>
      </c>
      <c r="L22" s="2">
        <v>2314.3000000000002</v>
      </c>
      <c r="M22" s="2">
        <v>2346.4</v>
      </c>
      <c r="N22" s="2">
        <v>3070</v>
      </c>
      <c r="O22" s="2">
        <v>2025</v>
      </c>
      <c r="P22">
        <v>1978147</v>
      </c>
      <c r="Q22">
        <v>87565</v>
      </c>
    </row>
    <row r="23" spans="1:17" x14ac:dyDescent="0.35">
      <c r="A23" s="1">
        <v>45965</v>
      </c>
      <c r="B23" s="1" t="str">
        <f t="shared" si="0"/>
        <v>Tuesday</v>
      </c>
      <c r="C23" s="1" t="str">
        <f t="shared" si="1"/>
        <v>November</v>
      </c>
      <c r="D23" s="1" t="str">
        <f t="shared" si="2"/>
        <v>Q4</v>
      </c>
      <c r="E23" s="1" t="str">
        <f t="shared" si="3"/>
        <v>2025</v>
      </c>
      <c r="F23" t="s">
        <v>13</v>
      </c>
      <c r="G23" s="2">
        <v>2479.8000000000002</v>
      </c>
      <c r="H23" s="2">
        <v>2488.9</v>
      </c>
      <c r="I23" s="2">
        <v>2390.6</v>
      </c>
      <c r="J23" s="2">
        <v>2467</v>
      </c>
      <c r="K23" s="2">
        <v>2399.9</v>
      </c>
      <c r="L23" s="2">
        <v>2419.8000000000002</v>
      </c>
      <c r="M23" s="2">
        <v>2433.37</v>
      </c>
      <c r="N23" s="2">
        <v>3070</v>
      </c>
      <c r="O23" s="2">
        <v>2025</v>
      </c>
      <c r="P23">
        <v>2072668</v>
      </c>
      <c r="Q23">
        <v>77117</v>
      </c>
    </row>
    <row r="24" spans="1:17" x14ac:dyDescent="0.35">
      <c r="A24" s="1">
        <v>45964</v>
      </c>
      <c r="B24" s="1" t="str">
        <f t="shared" si="0"/>
        <v>Monday</v>
      </c>
      <c r="C24" s="1" t="str">
        <f t="shared" si="1"/>
        <v>November</v>
      </c>
      <c r="D24" s="1" t="str">
        <f t="shared" si="2"/>
        <v>Q4</v>
      </c>
      <c r="E24" s="1" t="str">
        <f t="shared" si="3"/>
        <v>2025</v>
      </c>
      <c r="F24" t="s">
        <v>13</v>
      </c>
      <c r="G24" s="2">
        <v>2484</v>
      </c>
      <c r="H24" s="2">
        <v>2501.9</v>
      </c>
      <c r="I24" s="2">
        <v>2457.5</v>
      </c>
      <c r="J24" s="2">
        <v>2481</v>
      </c>
      <c r="K24" s="2">
        <v>2469.5</v>
      </c>
      <c r="L24" s="2">
        <v>2467</v>
      </c>
      <c r="M24" s="2">
        <v>2476.6</v>
      </c>
      <c r="N24" s="2">
        <v>3070</v>
      </c>
      <c r="O24" s="2">
        <v>2025</v>
      </c>
      <c r="P24">
        <v>731108</v>
      </c>
      <c r="Q24">
        <v>36644</v>
      </c>
    </row>
    <row r="25" spans="1:17" x14ac:dyDescent="0.35">
      <c r="A25" s="1">
        <v>45961</v>
      </c>
      <c r="B25" s="1" t="str">
        <f t="shared" si="0"/>
        <v>Friday</v>
      </c>
      <c r="C25" s="1" t="str">
        <f t="shared" si="1"/>
        <v>October</v>
      </c>
      <c r="D25" s="1" t="str">
        <f t="shared" si="2"/>
        <v>Q4</v>
      </c>
      <c r="E25" s="1" t="str">
        <f t="shared" si="3"/>
        <v>2025</v>
      </c>
      <c r="F25" t="s">
        <v>13</v>
      </c>
      <c r="G25" s="2">
        <v>2535</v>
      </c>
      <c r="H25" s="2">
        <v>2543.5</v>
      </c>
      <c r="I25" s="2">
        <v>2464.9</v>
      </c>
      <c r="J25" s="2">
        <v>2526.9</v>
      </c>
      <c r="K25" s="2">
        <v>2474.9</v>
      </c>
      <c r="L25" s="2">
        <v>2481</v>
      </c>
      <c r="M25" s="2">
        <v>2506.83</v>
      </c>
      <c r="N25" s="2">
        <v>3070</v>
      </c>
      <c r="O25" s="2">
        <v>2025</v>
      </c>
      <c r="P25">
        <v>848642</v>
      </c>
      <c r="Q25">
        <v>36750</v>
      </c>
    </row>
    <row r="26" spans="1:17" x14ac:dyDescent="0.35">
      <c r="A26" s="1">
        <v>45960</v>
      </c>
      <c r="B26" s="1" t="str">
        <f t="shared" si="0"/>
        <v>Thursday</v>
      </c>
      <c r="C26" s="1" t="str">
        <f t="shared" si="1"/>
        <v>October</v>
      </c>
      <c r="D26" s="1" t="str">
        <f t="shared" si="2"/>
        <v>Q4</v>
      </c>
      <c r="E26" s="1" t="str">
        <f t="shared" si="3"/>
        <v>2025</v>
      </c>
      <c r="F26" t="s">
        <v>13</v>
      </c>
      <c r="G26" s="2">
        <v>2550</v>
      </c>
      <c r="H26" s="2">
        <v>2559.4</v>
      </c>
      <c r="I26" s="2">
        <v>2511.8000000000002</v>
      </c>
      <c r="J26" s="2">
        <v>2537.4</v>
      </c>
      <c r="K26" s="2">
        <v>2528.8000000000002</v>
      </c>
      <c r="L26" s="2">
        <v>2526.9</v>
      </c>
      <c r="M26" s="2">
        <v>2533.16</v>
      </c>
      <c r="N26" s="2">
        <v>3070</v>
      </c>
      <c r="O26" s="2">
        <v>2025</v>
      </c>
      <c r="P26">
        <v>783328</v>
      </c>
      <c r="Q26">
        <v>30911</v>
      </c>
    </row>
    <row r="27" spans="1:17" x14ac:dyDescent="0.35">
      <c r="A27" s="1">
        <v>45959</v>
      </c>
      <c r="B27" s="1" t="str">
        <f t="shared" si="0"/>
        <v>Wednesday</v>
      </c>
      <c r="C27" s="1" t="str">
        <f t="shared" si="1"/>
        <v>October</v>
      </c>
      <c r="D27" s="1" t="str">
        <f t="shared" si="2"/>
        <v>Q4</v>
      </c>
      <c r="E27" s="1" t="str">
        <f t="shared" si="3"/>
        <v>2025</v>
      </c>
      <c r="F27" t="s">
        <v>13</v>
      </c>
      <c r="G27" s="2">
        <v>2500</v>
      </c>
      <c r="H27" s="2">
        <v>2600</v>
      </c>
      <c r="I27" s="2">
        <v>2495.5</v>
      </c>
      <c r="J27" s="2">
        <v>2494.4</v>
      </c>
      <c r="K27" s="2">
        <v>2553.5</v>
      </c>
      <c r="L27" s="2">
        <v>2537.4</v>
      </c>
      <c r="M27" s="2">
        <v>2557.11</v>
      </c>
      <c r="N27" s="2">
        <v>3070</v>
      </c>
      <c r="O27" s="2">
        <v>2025</v>
      </c>
      <c r="P27">
        <v>1526734</v>
      </c>
      <c r="Q27">
        <v>63774</v>
      </c>
    </row>
    <row r="28" spans="1:17" x14ac:dyDescent="0.35">
      <c r="A28" s="1">
        <v>45958</v>
      </c>
      <c r="B28" s="1" t="str">
        <f t="shared" si="0"/>
        <v>Tuesday</v>
      </c>
      <c r="C28" s="1" t="str">
        <f t="shared" si="1"/>
        <v>October</v>
      </c>
      <c r="D28" s="1" t="str">
        <f t="shared" si="2"/>
        <v>Q4</v>
      </c>
      <c r="E28" s="1" t="str">
        <f t="shared" si="3"/>
        <v>2025</v>
      </c>
      <c r="F28" t="s">
        <v>13</v>
      </c>
      <c r="G28" s="2">
        <v>2495</v>
      </c>
      <c r="H28" s="2">
        <v>2516</v>
      </c>
      <c r="I28" s="2">
        <v>2479.1</v>
      </c>
      <c r="J28" s="2">
        <v>2492.8000000000002</v>
      </c>
      <c r="K28" s="2">
        <v>2499</v>
      </c>
      <c r="L28" s="2">
        <v>2494.4</v>
      </c>
      <c r="M28" s="2">
        <v>2497.36</v>
      </c>
      <c r="N28" s="2">
        <v>3070</v>
      </c>
      <c r="O28" s="2">
        <v>2025</v>
      </c>
      <c r="P28">
        <v>626988</v>
      </c>
      <c r="Q28">
        <v>43588</v>
      </c>
    </row>
    <row r="29" spans="1:17" x14ac:dyDescent="0.35">
      <c r="A29" s="1">
        <v>45957</v>
      </c>
      <c r="B29" s="1" t="str">
        <f t="shared" si="0"/>
        <v>Monday</v>
      </c>
      <c r="C29" s="1" t="str">
        <f t="shared" si="1"/>
        <v>October</v>
      </c>
      <c r="D29" s="1" t="str">
        <f t="shared" si="2"/>
        <v>Q4</v>
      </c>
      <c r="E29" s="1" t="str">
        <f t="shared" si="3"/>
        <v>2025</v>
      </c>
      <c r="F29" t="s">
        <v>13</v>
      </c>
      <c r="G29" s="2">
        <v>2504.1999999999998</v>
      </c>
      <c r="H29" s="2">
        <v>2514.6</v>
      </c>
      <c r="I29" s="2">
        <v>2487.1</v>
      </c>
      <c r="J29" s="2">
        <v>2504.1999999999998</v>
      </c>
      <c r="K29" s="2">
        <v>2490</v>
      </c>
      <c r="L29" s="2">
        <v>2492.8000000000002</v>
      </c>
      <c r="M29" s="2">
        <v>2498.12</v>
      </c>
      <c r="N29" s="2">
        <v>3070</v>
      </c>
      <c r="O29" s="2">
        <v>2025</v>
      </c>
      <c r="P29">
        <v>478055</v>
      </c>
      <c r="Q29">
        <v>28241</v>
      </c>
    </row>
    <row r="30" spans="1:17" x14ac:dyDescent="0.35">
      <c r="A30" s="1">
        <v>45954</v>
      </c>
      <c r="B30" s="1" t="str">
        <f t="shared" si="0"/>
        <v>Friday</v>
      </c>
      <c r="C30" s="1" t="str">
        <f t="shared" si="1"/>
        <v>October</v>
      </c>
      <c r="D30" s="1" t="str">
        <f t="shared" si="2"/>
        <v>Q4</v>
      </c>
      <c r="E30" s="1" t="str">
        <f t="shared" si="3"/>
        <v>2025</v>
      </c>
      <c r="F30" t="s">
        <v>13</v>
      </c>
      <c r="G30" s="2">
        <v>2554.8000000000002</v>
      </c>
      <c r="H30" s="2">
        <v>2554.8000000000002</v>
      </c>
      <c r="I30" s="2">
        <v>2497.6999999999998</v>
      </c>
      <c r="J30" s="2">
        <v>2545.8000000000002</v>
      </c>
      <c r="K30" s="2">
        <v>2505.6999999999998</v>
      </c>
      <c r="L30" s="2">
        <v>2504.1999999999998</v>
      </c>
      <c r="M30" s="2">
        <v>2517.27</v>
      </c>
      <c r="N30" s="2">
        <v>3070</v>
      </c>
      <c r="O30" s="2">
        <v>2025</v>
      </c>
      <c r="P30">
        <v>473765</v>
      </c>
      <c r="Q30">
        <v>26841</v>
      </c>
    </row>
    <row r="31" spans="1:17" x14ac:dyDescent="0.35">
      <c r="A31" s="1">
        <v>45953</v>
      </c>
      <c r="B31" s="1" t="str">
        <f t="shared" si="0"/>
        <v>Thursday</v>
      </c>
      <c r="C31" s="1" t="str">
        <f t="shared" si="1"/>
        <v>October</v>
      </c>
      <c r="D31" s="1" t="str">
        <f t="shared" si="2"/>
        <v>Q4</v>
      </c>
      <c r="E31" s="1" t="str">
        <f t="shared" si="3"/>
        <v>2025</v>
      </c>
      <c r="F31" t="s">
        <v>13</v>
      </c>
      <c r="G31" s="2">
        <v>2559.9</v>
      </c>
      <c r="H31" s="2">
        <v>2577.8000000000002</v>
      </c>
      <c r="I31" s="2">
        <v>2540.9</v>
      </c>
      <c r="J31" s="2">
        <v>2549.9</v>
      </c>
      <c r="K31" s="2">
        <v>2544.9</v>
      </c>
      <c r="L31" s="2">
        <v>2545.8000000000002</v>
      </c>
      <c r="M31" s="2">
        <v>2561.59</v>
      </c>
      <c r="N31" s="2">
        <v>3070</v>
      </c>
      <c r="O31" s="2">
        <v>2025</v>
      </c>
      <c r="P31">
        <v>852445</v>
      </c>
      <c r="Q31">
        <v>28965</v>
      </c>
    </row>
    <row r="32" spans="1:17" x14ac:dyDescent="0.35">
      <c r="A32" s="1">
        <v>45951</v>
      </c>
      <c r="B32" s="1" t="str">
        <f t="shared" si="0"/>
        <v>Tuesday</v>
      </c>
      <c r="C32" s="1" t="str">
        <f t="shared" si="1"/>
        <v>October</v>
      </c>
      <c r="D32" s="1" t="str">
        <f t="shared" si="2"/>
        <v>Q4</v>
      </c>
      <c r="E32" s="1" t="str">
        <f t="shared" si="3"/>
        <v>2025</v>
      </c>
      <c r="F32" t="s">
        <v>13</v>
      </c>
      <c r="G32" s="2">
        <v>2554.9</v>
      </c>
      <c r="H32" s="2">
        <v>2562</v>
      </c>
      <c r="I32" s="2">
        <v>2542.3000000000002</v>
      </c>
      <c r="J32" s="2">
        <v>2548.1</v>
      </c>
      <c r="K32" s="2">
        <v>2548.5</v>
      </c>
      <c r="L32" s="2">
        <v>2549.9</v>
      </c>
      <c r="M32" s="2">
        <v>2552.61</v>
      </c>
      <c r="N32" s="2">
        <v>3070</v>
      </c>
      <c r="O32" s="2">
        <v>2025</v>
      </c>
      <c r="P32">
        <v>101019</v>
      </c>
      <c r="Q32">
        <v>5843</v>
      </c>
    </row>
    <row r="33" spans="1:17" x14ac:dyDescent="0.35">
      <c r="A33" s="1">
        <v>45950</v>
      </c>
      <c r="B33" s="1" t="str">
        <f t="shared" si="0"/>
        <v>Monday</v>
      </c>
      <c r="C33" s="1" t="str">
        <f t="shared" si="1"/>
        <v>October</v>
      </c>
      <c r="D33" s="1" t="str">
        <f t="shared" si="2"/>
        <v>Q4</v>
      </c>
      <c r="E33" s="1" t="str">
        <f t="shared" si="3"/>
        <v>2025</v>
      </c>
      <c r="F33" t="s">
        <v>13</v>
      </c>
      <c r="G33" s="2">
        <v>2561.3000000000002</v>
      </c>
      <c r="H33" s="2">
        <v>2579</v>
      </c>
      <c r="I33" s="2">
        <v>2537.1</v>
      </c>
      <c r="J33" s="2">
        <v>2549.4</v>
      </c>
      <c r="K33" s="2">
        <v>2550</v>
      </c>
      <c r="L33" s="2">
        <v>2548.1</v>
      </c>
      <c r="M33" s="2">
        <v>2555.35</v>
      </c>
      <c r="N33" s="2">
        <v>3070</v>
      </c>
      <c r="O33" s="2">
        <v>2025</v>
      </c>
      <c r="P33">
        <v>747349</v>
      </c>
      <c r="Q33">
        <v>36293</v>
      </c>
    </row>
    <row r="34" spans="1:17" x14ac:dyDescent="0.35">
      <c r="A34" s="1">
        <v>45947</v>
      </c>
      <c r="B34" s="1" t="str">
        <f t="shared" si="0"/>
        <v>Friday</v>
      </c>
      <c r="C34" s="1" t="str">
        <f t="shared" si="1"/>
        <v>October</v>
      </c>
      <c r="D34" s="1" t="str">
        <f t="shared" si="2"/>
        <v>Q4</v>
      </c>
      <c r="E34" s="1" t="str">
        <f t="shared" si="3"/>
        <v>2025</v>
      </c>
      <c r="F34" t="s">
        <v>13</v>
      </c>
      <c r="G34" s="2">
        <v>2560</v>
      </c>
      <c r="H34" s="2">
        <v>2577.1999999999998</v>
      </c>
      <c r="I34" s="2">
        <v>2543.1</v>
      </c>
      <c r="J34" s="2">
        <v>2557.6</v>
      </c>
      <c r="K34" s="2">
        <v>2545</v>
      </c>
      <c r="L34" s="2">
        <v>2549.4</v>
      </c>
      <c r="M34" s="2">
        <v>2557.23</v>
      </c>
      <c r="N34" s="2">
        <v>3150.1</v>
      </c>
      <c r="O34" s="2">
        <v>2025</v>
      </c>
      <c r="P34">
        <v>682968</v>
      </c>
      <c r="Q34">
        <v>28888</v>
      </c>
    </row>
    <row r="35" spans="1:17" x14ac:dyDescent="0.35">
      <c r="A35" s="1">
        <v>45946</v>
      </c>
      <c r="B35" s="1" t="str">
        <f t="shared" si="0"/>
        <v>Thursday</v>
      </c>
      <c r="C35" s="1" t="str">
        <f t="shared" si="1"/>
        <v>October</v>
      </c>
      <c r="D35" s="1" t="str">
        <f t="shared" si="2"/>
        <v>Q4</v>
      </c>
      <c r="E35" s="1" t="str">
        <f t="shared" si="3"/>
        <v>2025</v>
      </c>
      <c r="F35" t="s">
        <v>13</v>
      </c>
      <c r="G35" s="2">
        <v>2544.8000000000002</v>
      </c>
      <c r="H35" s="2">
        <v>2579.6999999999998</v>
      </c>
      <c r="I35" s="2">
        <v>2540.9</v>
      </c>
      <c r="J35" s="2">
        <v>2532.8000000000002</v>
      </c>
      <c r="K35" s="2">
        <v>2554.5</v>
      </c>
      <c r="L35" s="2">
        <v>2557.6</v>
      </c>
      <c r="M35" s="2">
        <v>2563.4299999999998</v>
      </c>
      <c r="N35" s="2">
        <v>3150.1</v>
      </c>
      <c r="O35" s="2">
        <v>2025</v>
      </c>
      <c r="P35">
        <v>1020102</v>
      </c>
      <c r="Q35">
        <v>36921</v>
      </c>
    </row>
    <row r="36" spans="1:17" x14ac:dyDescent="0.35">
      <c r="A36" s="1">
        <v>45945</v>
      </c>
      <c r="B36" s="1" t="str">
        <f t="shared" si="0"/>
        <v>Wednesday</v>
      </c>
      <c r="C36" s="1" t="str">
        <f t="shared" si="1"/>
        <v>October</v>
      </c>
      <c r="D36" s="1" t="str">
        <f t="shared" si="2"/>
        <v>Q4</v>
      </c>
      <c r="E36" s="1" t="str">
        <f t="shared" si="3"/>
        <v>2025</v>
      </c>
      <c r="F36" t="s">
        <v>13</v>
      </c>
      <c r="G36" s="2">
        <v>2535</v>
      </c>
      <c r="H36" s="2">
        <v>2561.4</v>
      </c>
      <c r="I36" s="2">
        <v>2527.3000000000002</v>
      </c>
      <c r="J36" s="2">
        <v>2517</v>
      </c>
      <c r="K36" s="2">
        <v>2538.8000000000002</v>
      </c>
      <c r="L36" s="2">
        <v>2532.8000000000002</v>
      </c>
      <c r="M36" s="2">
        <v>2542.1999999999998</v>
      </c>
      <c r="N36" s="2">
        <v>3150.1</v>
      </c>
      <c r="O36" s="2">
        <v>2025</v>
      </c>
      <c r="P36">
        <v>759772</v>
      </c>
      <c r="Q36">
        <v>32585</v>
      </c>
    </row>
    <row r="37" spans="1:17" x14ac:dyDescent="0.35">
      <c r="A37" s="1">
        <v>45944</v>
      </c>
      <c r="B37" s="1" t="str">
        <f t="shared" si="0"/>
        <v>Tuesday</v>
      </c>
      <c r="C37" s="1" t="str">
        <f t="shared" si="1"/>
        <v>October</v>
      </c>
      <c r="D37" s="1" t="str">
        <f t="shared" si="2"/>
        <v>Q4</v>
      </c>
      <c r="E37" s="1" t="str">
        <f t="shared" si="3"/>
        <v>2025</v>
      </c>
      <c r="F37" t="s">
        <v>13</v>
      </c>
      <c r="G37" s="2">
        <v>2538.9</v>
      </c>
      <c r="H37" s="2">
        <v>2538.9</v>
      </c>
      <c r="I37" s="2">
        <v>2485.1999999999998</v>
      </c>
      <c r="J37" s="2">
        <v>2527.4</v>
      </c>
      <c r="K37" s="2">
        <v>2519</v>
      </c>
      <c r="L37" s="2">
        <v>2517</v>
      </c>
      <c r="M37" s="2">
        <v>2510.23</v>
      </c>
      <c r="N37" s="2">
        <v>3150.1</v>
      </c>
      <c r="O37" s="2">
        <v>2025</v>
      </c>
      <c r="P37">
        <v>673048</v>
      </c>
      <c r="Q37">
        <v>30957</v>
      </c>
    </row>
    <row r="38" spans="1:17" x14ac:dyDescent="0.35">
      <c r="A38" s="1">
        <v>45943</v>
      </c>
      <c r="B38" s="1" t="str">
        <f t="shared" si="0"/>
        <v>Monday</v>
      </c>
      <c r="C38" s="1" t="str">
        <f t="shared" si="1"/>
        <v>October</v>
      </c>
      <c r="D38" s="1" t="str">
        <f t="shared" si="2"/>
        <v>Q4</v>
      </c>
      <c r="E38" s="1" t="str">
        <f t="shared" si="3"/>
        <v>2025</v>
      </c>
      <c r="F38" t="s">
        <v>13</v>
      </c>
      <c r="G38" s="2">
        <v>2529.1</v>
      </c>
      <c r="H38" s="2">
        <v>2542.1</v>
      </c>
      <c r="I38" s="2">
        <v>2504</v>
      </c>
      <c r="J38" s="2">
        <v>2550.9</v>
      </c>
      <c r="K38" s="2">
        <v>2523.5</v>
      </c>
      <c r="L38" s="2">
        <v>2527.4</v>
      </c>
      <c r="M38" s="2">
        <v>2523.35</v>
      </c>
      <c r="N38" s="2">
        <v>3150.1</v>
      </c>
      <c r="O38" s="2">
        <v>2025</v>
      </c>
      <c r="P38">
        <v>645483</v>
      </c>
      <c r="Q38">
        <v>28683</v>
      </c>
    </row>
    <row r="39" spans="1:17" x14ac:dyDescent="0.35">
      <c r="A39" s="1">
        <v>45940</v>
      </c>
      <c r="B39" s="1" t="str">
        <f t="shared" si="0"/>
        <v>Friday</v>
      </c>
      <c r="C39" s="1" t="str">
        <f t="shared" si="1"/>
        <v>October</v>
      </c>
      <c r="D39" s="1" t="str">
        <f t="shared" si="2"/>
        <v>Q4</v>
      </c>
      <c r="E39" s="1" t="str">
        <f t="shared" si="3"/>
        <v>2025</v>
      </c>
      <c r="F39" t="s">
        <v>13</v>
      </c>
      <c r="G39" s="2">
        <v>2552</v>
      </c>
      <c r="H39" s="2">
        <v>2565</v>
      </c>
      <c r="I39" s="2">
        <v>2538.8000000000002</v>
      </c>
      <c r="J39" s="2">
        <v>2542.4</v>
      </c>
      <c r="K39" s="2">
        <v>2542.1</v>
      </c>
      <c r="L39" s="2">
        <v>2550.9</v>
      </c>
      <c r="M39" s="2">
        <v>2552.39</v>
      </c>
      <c r="N39" s="2">
        <v>3211</v>
      </c>
      <c r="O39" s="2">
        <v>2025</v>
      </c>
      <c r="P39">
        <v>690142</v>
      </c>
      <c r="Q39">
        <v>30769</v>
      </c>
    </row>
    <row r="40" spans="1:17" x14ac:dyDescent="0.35">
      <c r="A40" s="1">
        <v>45939</v>
      </c>
      <c r="B40" s="1" t="str">
        <f t="shared" si="0"/>
        <v>Thursday</v>
      </c>
      <c r="C40" s="1" t="str">
        <f t="shared" si="1"/>
        <v>October</v>
      </c>
      <c r="D40" s="1" t="str">
        <f t="shared" si="2"/>
        <v>Q4</v>
      </c>
      <c r="E40" s="1" t="str">
        <f t="shared" si="3"/>
        <v>2025</v>
      </c>
      <c r="F40" t="s">
        <v>13</v>
      </c>
      <c r="G40" s="2">
        <v>2535</v>
      </c>
      <c r="H40" s="2">
        <v>2559</v>
      </c>
      <c r="I40" s="2">
        <v>2522.1999999999998</v>
      </c>
      <c r="J40" s="2">
        <v>2524.1</v>
      </c>
      <c r="K40" s="2">
        <v>2547</v>
      </c>
      <c r="L40" s="2">
        <v>2542.4</v>
      </c>
      <c r="M40" s="2">
        <v>2544.7399999999998</v>
      </c>
      <c r="N40" s="2">
        <v>3211</v>
      </c>
      <c r="O40" s="2">
        <v>2025</v>
      </c>
      <c r="P40">
        <v>651703</v>
      </c>
      <c r="Q40">
        <v>28591</v>
      </c>
    </row>
    <row r="41" spans="1:17" x14ac:dyDescent="0.35">
      <c r="A41" s="1">
        <v>45938</v>
      </c>
      <c r="B41" s="1" t="str">
        <f t="shared" si="0"/>
        <v>Wednesday</v>
      </c>
      <c r="C41" s="1" t="str">
        <f t="shared" si="1"/>
        <v>October</v>
      </c>
      <c r="D41" s="1" t="str">
        <f t="shared" si="2"/>
        <v>Q4</v>
      </c>
      <c r="E41" s="1" t="str">
        <f t="shared" si="3"/>
        <v>2025</v>
      </c>
      <c r="F41" t="s">
        <v>13</v>
      </c>
      <c r="G41" s="2">
        <v>2562</v>
      </c>
      <c r="H41" s="2">
        <v>2565</v>
      </c>
      <c r="I41" s="2">
        <v>2500</v>
      </c>
      <c r="J41" s="2">
        <v>2542.1999999999998</v>
      </c>
      <c r="K41" s="2">
        <v>2525</v>
      </c>
      <c r="L41" s="2">
        <v>2524.1</v>
      </c>
      <c r="M41" s="2">
        <v>2524.6799999999998</v>
      </c>
      <c r="N41" s="2">
        <v>3211</v>
      </c>
      <c r="O41" s="2">
        <v>2025</v>
      </c>
      <c r="P41">
        <v>1063357</v>
      </c>
      <c r="Q41">
        <v>40794</v>
      </c>
    </row>
    <row r="42" spans="1:17" x14ac:dyDescent="0.35">
      <c r="A42" s="1">
        <v>45937</v>
      </c>
      <c r="B42" s="1" t="str">
        <f t="shared" si="0"/>
        <v>Tuesday</v>
      </c>
      <c r="C42" s="1" t="str">
        <f t="shared" si="1"/>
        <v>October</v>
      </c>
      <c r="D42" s="1" t="str">
        <f t="shared" si="2"/>
        <v>Q4</v>
      </c>
      <c r="E42" s="1" t="str">
        <f t="shared" si="3"/>
        <v>2025</v>
      </c>
      <c r="F42" t="s">
        <v>13</v>
      </c>
      <c r="G42" s="2">
        <v>2580.6999999999998</v>
      </c>
      <c r="H42" s="2">
        <v>2617.3000000000002</v>
      </c>
      <c r="I42" s="2">
        <v>2533.1</v>
      </c>
      <c r="J42" s="2">
        <v>2573.5</v>
      </c>
      <c r="K42" s="2">
        <v>2556.5</v>
      </c>
      <c r="L42" s="2">
        <v>2542.1999999999998</v>
      </c>
      <c r="M42" s="2">
        <v>2579.42</v>
      </c>
      <c r="N42" s="2">
        <v>3211</v>
      </c>
      <c r="O42" s="2">
        <v>2025</v>
      </c>
      <c r="P42">
        <v>1120230</v>
      </c>
      <c r="Q42">
        <v>48731</v>
      </c>
    </row>
    <row r="43" spans="1:17" x14ac:dyDescent="0.35">
      <c r="A43" s="1">
        <v>45936</v>
      </c>
      <c r="B43" s="1" t="str">
        <f t="shared" si="0"/>
        <v>Monday</v>
      </c>
      <c r="C43" s="1" t="str">
        <f t="shared" si="1"/>
        <v>October</v>
      </c>
      <c r="D43" s="1" t="str">
        <f t="shared" si="2"/>
        <v>Q4</v>
      </c>
      <c r="E43" s="1" t="str">
        <f t="shared" si="3"/>
        <v>2025</v>
      </c>
      <c r="F43" t="s">
        <v>13</v>
      </c>
      <c r="G43" s="2">
        <v>2589.1</v>
      </c>
      <c r="H43" s="2">
        <v>2599.8000000000002</v>
      </c>
      <c r="I43" s="2">
        <v>2562.6</v>
      </c>
      <c r="J43" s="2">
        <v>2589.9</v>
      </c>
      <c r="K43" s="2">
        <v>2573</v>
      </c>
      <c r="L43" s="2">
        <v>2573.5</v>
      </c>
      <c r="M43" s="2">
        <v>2575.41</v>
      </c>
      <c r="N43" s="2">
        <v>3211</v>
      </c>
      <c r="O43" s="2">
        <v>2025</v>
      </c>
      <c r="P43">
        <v>654955</v>
      </c>
      <c r="Q43">
        <v>29063</v>
      </c>
    </row>
    <row r="44" spans="1:17" x14ac:dyDescent="0.35">
      <c r="A44" s="1">
        <v>45933</v>
      </c>
      <c r="B44" s="1" t="str">
        <f t="shared" si="0"/>
        <v>Friday</v>
      </c>
      <c r="C44" s="1" t="str">
        <f t="shared" si="1"/>
        <v>October</v>
      </c>
      <c r="D44" s="1" t="str">
        <f t="shared" si="2"/>
        <v>Q4</v>
      </c>
      <c r="E44" s="1" t="str">
        <f t="shared" si="3"/>
        <v>2025</v>
      </c>
      <c r="F44" t="s">
        <v>13</v>
      </c>
      <c r="G44" s="2">
        <v>2595</v>
      </c>
      <c r="H44" s="2">
        <v>2612.9</v>
      </c>
      <c r="I44" s="2">
        <v>2564.4</v>
      </c>
      <c r="J44" s="2">
        <v>2592.6999999999998</v>
      </c>
      <c r="K44" s="2">
        <v>2586.1</v>
      </c>
      <c r="L44" s="2">
        <v>2589.9</v>
      </c>
      <c r="M44" s="2">
        <v>2588.4899999999998</v>
      </c>
      <c r="N44" s="2">
        <v>3211</v>
      </c>
      <c r="O44" s="2">
        <v>2025</v>
      </c>
      <c r="P44">
        <v>917651</v>
      </c>
      <c r="Q44">
        <v>37872</v>
      </c>
    </row>
    <row r="45" spans="1:17" x14ac:dyDescent="0.35">
      <c r="A45" s="1">
        <v>45931</v>
      </c>
      <c r="B45" s="1" t="str">
        <f t="shared" si="0"/>
        <v>Wednesday</v>
      </c>
      <c r="C45" s="1" t="str">
        <f t="shared" si="1"/>
        <v>October</v>
      </c>
      <c r="D45" s="1" t="str">
        <f t="shared" si="2"/>
        <v>Q4</v>
      </c>
      <c r="E45" s="1" t="str">
        <f t="shared" si="3"/>
        <v>2025</v>
      </c>
      <c r="F45" t="s">
        <v>13</v>
      </c>
      <c r="G45" s="2">
        <v>2518.4</v>
      </c>
      <c r="H45" s="2">
        <v>2603.4</v>
      </c>
      <c r="I45" s="2">
        <v>2472.1</v>
      </c>
      <c r="J45" s="2">
        <v>2505.9</v>
      </c>
      <c r="K45" s="2">
        <v>2594.3000000000002</v>
      </c>
      <c r="L45" s="2">
        <v>2592.6999999999998</v>
      </c>
      <c r="M45" s="2">
        <v>2534.6999999999998</v>
      </c>
      <c r="N45" s="2">
        <v>3211</v>
      </c>
      <c r="O45" s="2">
        <v>2025</v>
      </c>
      <c r="P45">
        <v>1573485</v>
      </c>
      <c r="Q45">
        <v>57732</v>
      </c>
    </row>
    <row r="46" spans="1:17" x14ac:dyDescent="0.35">
      <c r="A46" s="1">
        <v>45930</v>
      </c>
      <c r="B46" s="1" t="str">
        <f t="shared" si="0"/>
        <v>Tuesday</v>
      </c>
      <c r="C46" s="1" t="str">
        <f t="shared" si="1"/>
        <v>September</v>
      </c>
      <c r="D46" s="1" t="str">
        <f t="shared" si="2"/>
        <v>Q3</v>
      </c>
      <c r="E46" s="1" t="str">
        <f t="shared" si="3"/>
        <v>2025</v>
      </c>
      <c r="F46" t="s">
        <v>13</v>
      </c>
      <c r="G46" s="2">
        <v>2522</v>
      </c>
      <c r="H46" s="2">
        <v>2535</v>
      </c>
      <c r="I46" s="2">
        <v>2490.6</v>
      </c>
      <c r="J46" s="2">
        <v>2509.5</v>
      </c>
      <c r="K46" s="2">
        <v>2509</v>
      </c>
      <c r="L46" s="2">
        <v>2505.9</v>
      </c>
      <c r="M46" s="2">
        <v>2512.9699999999998</v>
      </c>
      <c r="N46" s="2">
        <v>3211</v>
      </c>
      <c r="O46" s="2">
        <v>2025</v>
      </c>
      <c r="P46">
        <v>712592</v>
      </c>
      <c r="Q46">
        <v>38461</v>
      </c>
    </row>
    <row r="47" spans="1:17" x14ac:dyDescent="0.35">
      <c r="A47" s="1">
        <v>45929</v>
      </c>
      <c r="B47" s="1" t="str">
        <f t="shared" si="0"/>
        <v>Monday</v>
      </c>
      <c r="C47" s="1" t="str">
        <f t="shared" si="1"/>
        <v>September</v>
      </c>
      <c r="D47" s="1" t="str">
        <f t="shared" si="2"/>
        <v>Q3</v>
      </c>
      <c r="E47" s="1" t="str">
        <f t="shared" si="3"/>
        <v>2025</v>
      </c>
      <c r="F47" t="s">
        <v>13</v>
      </c>
      <c r="G47" s="2">
        <v>2543.6999999999998</v>
      </c>
      <c r="H47" s="2">
        <v>2555</v>
      </c>
      <c r="I47" s="2">
        <v>2505</v>
      </c>
      <c r="J47" s="2">
        <v>2543.6999999999998</v>
      </c>
      <c r="K47" s="2">
        <v>2521</v>
      </c>
      <c r="L47" s="2">
        <v>2509.5</v>
      </c>
      <c r="M47" s="2">
        <v>2528.21</v>
      </c>
      <c r="N47" s="2">
        <v>3211</v>
      </c>
      <c r="O47" s="2">
        <v>2025</v>
      </c>
      <c r="P47">
        <v>1012402</v>
      </c>
      <c r="Q47">
        <v>48219</v>
      </c>
    </row>
    <row r="48" spans="1:17" x14ac:dyDescent="0.35">
      <c r="A48" s="1">
        <v>45926</v>
      </c>
      <c r="B48" s="1" t="str">
        <f t="shared" si="0"/>
        <v>Friday</v>
      </c>
      <c r="C48" s="1" t="str">
        <f t="shared" si="1"/>
        <v>September</v>
      </c>
      <c r="D48" s="1" t="str">
        <f t="shared" si="2"/>
        <v>Q3</v>
      </c>
      <c r="E48" s="1" t="str">
        <f t="shared" si="3"/>
        <v>2025</v>
      </c>
      <c r="F48" t="s">
        <v>13</v>
      </c>
      <c r="G48" s="2">
        <v>2572.8000000000002</v>
      </c>
      <c r="H48" s="2">
        <v>2605</v>
      </c>
      <c r="I48" s="2">
        <v>2535</v>
      </c>
      <c r="J48" s="2">
        <v>2576.4</v>
      </c>
      <c r="K48" s="2">
        <v>2535.6</v>
      </c>
      <c r="L48" s="2">
        <v>2543.6999999999998</v>
      </c>
      <c r="M48" s="2">
        <v>2570.86</v>
      </c>
      <c r="N48" s="2">
        <v>3211</v>
      </c>
      <c r="O48" s="2">
        <v>2025</v>
      </c>
      <c r="P48">
        <v>1037808</v>
      </c>
      <c r="Q48">
        <v>46432</v>
      </c>
    </row>
    <row r="49" spans="1:17" x14ac:dyDescent="0.35">
      <c r="A49" s="1">
        <v>45925</v>
      </c>
      <c r="B49" s="1" t="str">
        <f t="shared" si="0"/>
        <v>Thursday</v>
      </c>
      <c r="C49" s="1" t="str">
        <f t="shared" si="1"/>
        <v>September</v>
      </c>
      <c r="D49" s="1" t="str">
        <f t="shared" si="2"/>
        <v>Q3</v>
      </c>
      <c r="E49" s="1" t="str">
        <f t="shared" si="3"/>
        <v>2025</v>
      </c>
      <c r="F49" t="s">
        <v>13</v>
      </c>
      <c r="G49" s="2">
        <v>2625</v>
      </c>
      <c r="H49" s="2">
        <v>2647.9</v>
      </c>
      <c r="I49" s="2">
        <v>2567</v>
      </c>
      <c r="J49" s="2">
        <v>2619.8000000000002</v>
      </c>
      <c r="K49" s="2">
        <v>2573.3000000000002</v>
      </c>
      <c r="L49" s="2">
        <v>2576.4</v>
      </c>
      <c r="M49" s="2">
        <v>2608.3200000000002</v>
      </c>
      <c r="N49" s="2">
        <v>3211</v>
      </c>
      <c r="O49" s="2">
        <v>2025</v>
      </c>
      <c r="P49">
        <v>1489682</v>
      </c>
      <c r="Q49">
        <v>50400</v>
      </c>
    </row>
    <row r="50" spans="1:17" x14ac:dyDescent="0.35">
      <c r="A50" s="1">
        <v>45924</v>
      </c>
      <c r="B50" s="1" t="str">
        <f t="shared" si="0"/>
        <v>Wednesday</v>
      </c>
      <c r="C50" s="1" t="str">
        <f t="shared" si="1"/>
        <v>September</v>
      </c>
      <c r="D50" s="1" t="str">
        <f t="shared" si="2"/>
        <v>Q3</v>
      </c>
      <c r="E50" s="1" t="str">
        <f t="shared" si="3"/>
        <v>2025</v>
      </c>
      <c r="F50" t="s">
        <v>13</v>
      </c>
      <c r="G50" s="2">
        <v>2655</v>
      </c>
      <c r="H50" s="2">
        <v>2676</v>
      </c>
      <c r="I50" s="2">
        <v>2614.4</v>
      </c>
      <c r="J50" s="2">
        <v>2676.4</v>
      </c>
      <c r="K50" s="2">
        <v>2624</v>
      </c>
      <c r="L50" s="2">
        <v>2619.8000000000002</v>
      </c>
      <c r="M50" s="2">
        <v>2647.88</v>
      </c>
      <c r="N50" s="2">
        <v>3211</v>
      </c>
      <c r="O50" s="2">
        <v>2025</v>
      </c>
      <c r="P50">
        <v>1720785</v>
      </c>
      <c r="Q50">
        <v>60770</v>
      </c>
    </row>
    <row r="51" spans="1:17" x14ac:dyDescent="0.35">
      <c r="A51" s="1">
        <v>45923</v>
      </c>
      <c r="B51" s="1" t="str">
        <f t="shared" si="0"/>
        <v>Tuesday</v>
      </c>
      <c r="C51" s="1" t="str">
        <f t="shared" si="1"/>
        <v>September</v>
      </c>
      <c r="D51" s="1" t="str">
        <f t="shared" si="2"/>
        <v>Q3</v>
      </c>
      <c r="E51" s="1" t="str">
        <f t="shared" si="3"/>
        <v>2025</v>
      </c>
      <c r="F51" t="s">
        <v>13</v>
      </c>
      <c r="G51" s="2">
        <v>2642.6</v>
      </c>
      <c r="H51" s="2">
        <v>2695</v>
      </c>
      <c r="I51" s="2">
        <v>2593</v>
      </c>
      <c r="J51" s="2">
        <v>2629.5</v>
      </c>
      <c r="K51" s="2">
        <v>2666</v>
      </c>
      <c r="L51" s="2">
        <v>2676.4</v>
      </c>
      <c r="M51" s="2">
        <v>2665.79</v>
      </c>
      <c r="N51" s="2">
        <v>3211</v>
      </c>
      <c r="O51" s="2">
        <v>2025</v>
      </c>
      <c r="P51">
        <v>5610022</v>
      </c>
      <c r="Q51">
        <v>167336</v>
      </c>
    </row>
    <row r="52" spans="1:17" x14ac:dyDescent="0.35">
      <c r="A52" s="1">
        <v>45922</v>
      </c>
      <c r="B52" s="1" t="str">
        <f t="shared" si="0"/>
        <v>Monday</v>
      </c>
      <c r="C52" s="1" t="str">
        <f t="shared" si="1"/>
        <v>September</v>
      </c>
      <c r="D52" s="1" t="str">
        <f t="shared" si="2"/>
        <v>Q3</v>
      </c>
      <c r="E52" s="1" t="str">
        <f t="shared" si="3"/>
        <v>2025</v>
      </c>
      <c r="F52" t="s">
        <v>13</v>
      </c>
      <c r="G52" s="2">
        <v>2535</v>
      </c>
      <c r="H52" s="2">
        <v>2659</v>
      </c>
      <c r="I52" s="2">
        <v>2522.1</v>
      </c>
      <c r="J52" s="2">
        <v>2524</v>
      </c>
      <c r="K52" s="2">
        <v>2624.5</v>
      </c>
      <c r="L52" s="2">
        <v>2629.5</v>
      </c>
      <c r="M52" s="2">
        <v>2615.4899999999998</v>
      </c>
      <c r="N52" s="2">
        <v>3211</v>
      </c>
      <c r="O52" s="2">
        <v>2025</v>
      </c>
      <c r="P52">
        <v>7022985</v>
      </c>
      <c r="Q52">
        <v>200598</v>
      </c>
    </row>
    <row r="53" spans="1:17" x14ac:dyDescent="0.35">
      <c r="A53" s="1">
        <v>45919</v>
      </c>
      <c r="B53" s="1" t="str">
        <f t="shared" si="0"/>
        <v>Friday</v>
      </c>
      <c r="C53" s="1" t="str">
        <f t="shared" si="1"/>
        <v>September</v>
      </c>
      <c r="D53" s="1" t="str">
        <f t="shared" si="2"/>
        <v>Q3</v>
      </c>
      <c r="E53" s="1" t="str">
        <f t="shared" si="3"/>
        <v>2025</v>
      </c>
      <c r="F53" t="s">
        <v>13</v>
      </c>
      <c r="G53" s="2">
        <v>2495</v>
      </c>
      <c r="H53" s="2">
        <v>2579</v>
      </c>
      <c r="I53" s="2">
        <v>2466.1</v>
      </c>
      <c r="J53" s="2">
        <v>2402</v>
      </c>
      <c r="K53" s="2">
        <v>2528</v>
      </c>
      <c r="L53" s="2">
        <v>2524</v>
      </c>
      <c r="M53" s="2">
        <v>2520.0100000000002</v>
      </c>
      <c r="N53" s="2">
        <v>3211</v>
      </c>
      <c r="O53" s="2">
        <v>2025</v>
      </c>
      <c r="P53">
        <v>7965135</v>
      </c>
      <c r="Q53">
        <v>238677</v>
      </c>
    </row>
    <row r="54" spans="1:17" x14ac:dyDescent="0.35">
      <c r="A54" s="1">
        <v>45918</v>
      </c>
      <c r="B54" s="1" t="str">
        <f t="shared" si="0"/>
        <v>Thursday</v>
      </c>
      <c r="C54" s="1" t="str">
        <f t="shared" si="1"/>
        <v>September</v>
      </c>
      <c r="D54" s="1" t="str">
        <f t="shared" si="2"/>
        <v>Q3</v>
      </c>
      <c r="E54" s="1" t="str">
        <f t="shared" si="3"/>
        <v>2025</v>
      </c>
      <c r="F54" t="s">
        <v>13</v>
      </c>
      <c r="G54" s="2">
        <v>2414.5</v>
      </c>
      <c r="H54" s="2">
        <v>2438</v>
      </c>
      <c r="I54" s="2">
        <v>2388.4</v>
      </c>
      <c r="J54" s="2">
        <v>2402</v>
      </c>
      <c r="K54" s="2">
        <v>2402</v>
      </c>
      <c r="L54" s="2">
        <v>2402</v>
      </c>
      <c r="M54" s="2">
        <v>2409.5500000000002</v>
      </c>
      <c r="N54" s="2">
        <v>3211</v>
      </c>
      <c r="O54" s="2">
        <v>2025</v>
      </c>
      <c r="P54">
        <v>703730</v>
      </c>
      <c r="Q54">
        <v>35404</v>
      </c>
    </row>
    <row r="55" spans="1:17" x14ac:dyDescent="0.35">
      <c r="A55" s="1">
        <v>45917</v>
      </c>
      <c r="B55" s="1" t="str">
        <f t="shared" si="0"/>
        <v>Wednesday</v>
      </c>
      <c r="C55" s="1" t="str">
        <f t="shared" si="1"/>
        <v>September</v>
      </c>
      <c r="D55" s="1" t="str">
        <f t="shared" si="2"/>
        <v>Q3</v>
      </c>
      <c r="E55" s="1" t="str">
        <f t="shared" si="3"/>
        <v>2025</v>
      </c>
      <c r="F55" t="s">
        <v>13</v>
      </c>
      <c r="G55" s="2">
        <v>2417</v>
      </c>
      <c r="H55" s="2">
        <v>2417</v>
      </c>
      <c r="I55" s="2">
        <v>2391</v>
      </c>
      <c r="J55" s="2">
        <v>2399.4</v>
      </c>
      <c r="K55" s="2">
        <v>2408</v>
      </c>
      <c r="L55" s="2">
        <v>2402</v>
      </c>
      <c r="M55" s="2">
        <v>2402.5</v>
      </c>
      <c r="N55" s="2">
        <v>3211</v>
      </c>
      <c r="O55" s="2">
        <v>2025</v>
      </c>
      <c r="P55">
        <v>514354</v>
      </c>
      <c r="Q55">
        <v>30311</v>
      </c>
    </row>
    <row r="56" spans="1:17" x14ac:dyDescent="0.35">
      <c r="A56" s="1">
        <v>45916</v>
      </c>
      <c r="B56" s="1" t="str">
        <f t="shared" si="0"/>
        <v>Tuesday</v>
      </c>
      <c r="C56" s="1" t="str">
        <f t="shared" si="1"/>
        <v>September</v>
      </c>
      <c r="D56" s="1" t="str">
        <f t="shared" si="2"/>
        <v>Q3</v>
      </c>
      <c r="E56" s="1" t="str">
        <f t="shared" si="3"/>
        <v>2025</v>
      </c>
      <c r="F56" t="s">
        <v>13</v>
      </c>
      <c r="G56" s="2">
        <v>2410</v>
      </c>
      <c r="H56" s="2">
        <v>2415.8000000000002</v>
      </c>
      <c r="I56" s="2">
        <v>2388</v>
      </c>
      <c r="J56" s="2">
        <v>2383.4</v>
      </c>
      <c r="K56" s="2">
        <v>2401</v>
      </c>
      <c r="L56" s="2">
        <v>2399.4</v>
      </c>
      <c r="M56" s="2">
        <v>2398.04</v>
      </c>
      <c r="N56" s="2">
        <v>3211</v>
      </c>
      <c r="O56" s="2">
        <v>2025</v>
      </c>
      <c r="P56">
        <v>752979</v>
      </c>
      <c r="Q56">
        <v>33207</v>
      </c>
    </row>
    <row r="57" spans="1:17" x14ac:dyDescent="0.35">
      <c r="A57" s="1">
        <v>45915</v>
      </c>
      <c r="B57" s="1" t="str">
        <f t="shared" si="0"/>
        <v>Monday</v>
      </c>
      <c r="C57" s="1" t="str">
        <f t="shared" si="1"/>
        <v>September</v>
      </c>
      <c r="D57" s="1" t="str">
        <f t="shared" si="2"/>
        <v>Q3</v>
      </c>
      <c r="E57" s="1" t="str">
        <f t="shared" si="3"/>
        <v>2025</v>
      </c>
      <c r="F57" t="s">
        <v>13</v>
      </c>
      <c r="G57" s="2">
        <v>2392</v>
      </c>
      <c r="H57" s="2">
        <v>2402.8000000000002</v>
      </c>
      <c r="I57" s="2">
        <v>2378.1</v>
      </c>
      <c r="J57" s="2">
        <v>2392</v>
      </c>
      <c r="K57" s="2">
        <v>2381</v>
      </c>
      <c r="L57" s="2">
        <v>2383.4</v>
      </c>
      <c r="M57" s="2">
        <v>2389.59</v>
      </c>
      <c r="N57" s="2">
        <v>3211</v>
      </c>
      <c r="O57" s="2">
        <v>2025</v>
      </c>
      <c r="P57">
        <v>298129</v>
      </c>
      <c r="Q57">
        <v>20087</v>
      </c>
    </row>
    <row r="58" spans="1:17" x14ac:dyDescent="0.35">
      <c r="A58" s="1">
        <v>45912</v>
      </c>
      <c r="B58" s="1" t="str">
        <f t="shared" si="0"/>
        <v>Friday</v>
      </c>
      <c r="C58" s="1" t="str">
        <f t="shared" si="1"/>
        <v>September</v>
      </c>
      <c r="D58" s="1" t="str">
        <f t="shared" si="2"/>
        <v>Q3</v>
      </c>
      <c r="E58" s="1" t="str">
        <f t="shared" si="3"/>
        <v>2025</v>
      </c>
      <c r="F58" t="s">
        <v>13</v>
      </c>
      <c r="G58" s="2">
        <v>2416.9</v>
      </c>
      <c r="H58" s="2">
        <v>2421.6</v>
      </c>
      <c r="I58" s="2">
        <v>2387.1</v>
      </c>
      <c r="J58" s="2">
        <v>2398.8000000000002</v>
      </c>
      <c r="K58" s="2">
        <v>2389</v>
      </c>
      <c r="L58" s="2">
        <v>2392</v>
      </c>
      <c r="M58" s="2">
        <v>2403.9499999999998</v>
      </c>
      <c r="N58" s="2">
        <v>3211</v>
      </c>
      <c r="O58" s="2">
        <v>2025</v>
      </c>
      <c r="P58">
        <v>533971</v>
      </c>
      <c r="Q58">
        <v>27629</v>
      </c>
    </row>
    <row r="59" spans="1:17" x14ac:dyDescent="0.35">
      <c r="A59" s="1">
        <v>45911</v>
      </c>
      <c r="B59" s="1" t="str">
        <f t="shared" si="0"/>
        <v>Thursday</v>
      </c>
      <c r="C59" s="1" t="str">
        <f t="shared" si="1"/>
        <v>September</v>
      </c>
      <c r="D59" s="1" t="str">
        <f t="shared" si="2"/>
        <v>Q3</v>
      </c>
      <c r="E59" s="1" t="str">
        <f t="shared" si="3"/>
        <v>2025</v>
      </c>
      <c r="F59" t="s">
        <v>13</v>
      </c>
      <c r="G59" s="2">
        <v>2348</v>
      </c>
      <c r="H59" s="2">
        <v>2418.6999999999998</v>
      </c>
      <c r="I59" s="2">
        <v>2340.1999999999998</v>
      </c>
      <c r="J59" s="2">
        <v>2340.1999999999998</v>
      </c>
      <c r="K59" s="2">
        <v>2408</v>
      </c>
      <c r="L59" s="2">
        <v>2398.8000000000002</v>
      </c>
      <c r="M59" s="2">
        <v>2394.0300000000002</v>
      </c>
      <c r="N59" s="2">
        <v>3211</v>
      </c>
      <c r="O59" s="2">
        <v>2025</v>
      </c>
      <c r="P59">
        <v>2111888</v>
      </c>
      <c r="Q59">
        <v>91785</v>
      </c>
    </row>
    <row r="60" spans="1:17" x14ac:dyDescent="0.35">
      <c r="A60" s="1">
        <v>45910</v>
      </c>
      <c r="B60" s="1" t="str">
        <f t="shared" si="0"/>
        <v>Wednesday</v>
      </c>
      <c r="C60" s="1" t="str">
        <f t="shared" si="1"/>
        <v>September</v>
      </c>
      <c r="D60" s="1" t="str">
        <f t="shared" si="2"/>
        <v>Q3</v>
      </c>
      <c r="E60" s="1" t="str">
        <f t="shared" si="3"/>
        <v>2025</v>
      </c>
      <c r="F60" t="s">
        <v>13</v>
      </c>
      <c r="G60" s="2">
        <v>2330</v>
      </c>
      <c r="H60" s="2">
        <v>2345.9</v>
      </c>
      <c r="I60" s="2">
        <v>2325.1</v>
      </c>
      <c r="J60" s="2">
        <v>2311.6</v>
      </c>
      <c r="K60" s="2">
        <v>2340.8000000000002</v>
      </c>
      <c r="L60" s="2">
        <v>2340.1999999999998</v>
      </c>
      <c r="M60" s="2">
        <v>2337.73</v>
      </c>
      <c r="N60" s="2">
        <v>3211</v>
      </c>
      <c r="O60" s="2">
        <v>2025</v>
      </c>
      <c r="P60">
        <v>390490</v>
      </c>
      <c r="Q60">
        <v>26122</v>
      </c>
    </row>
    <row r="61" spans="1:17" x14ac:dyDescent="0.35">
      <c r="A61" s="1">
        <v>45909</v>
      </c>
      <c r="B61" s="1" t="str">
        <f t="shared" si="0"/>
        <v>Tuesday</v>
      </c>
      <c r="C61" s="1" t="str">
        <f t="shared" si="1"/>
        <v>September</v>
      </c>
      <c r="D61" s="1" t="str">
        <f t="shared" si="2"/>
        <v>Q3</v>
      </c>
      <c r="E61" s="1" t="str">
        <f t="shared" si="3"/>
        <v>2025</v>
      </c>
      <c r="F61" t="s">
        <v>13</v>
      </c>
      <c r="G61" s="2">
        <v>2320</v>
      </c>
      <c r="H61" s="2">
        <v>2325</v>
      </c>
      <c r="I61" s="2">
        <v>2297</v>
      </c>
      <c r="J61" s="2">
        <v>2310.9</v>
      </c>
      <c r="K61" s="2">
        <v>2313.8000000000002</v>
      </c>
      <c r="L61" s="2">
        <v>2311.6</v>
      </c>
      <c r="M61" s="2">
        <v>2312.02</v>
      </c>
      <c r="N61" s="2">
        <v>3211</v>
      </c>
      <c r="O61" s="2">
        <v>2025</v>
      </c>
      <c r="P61">
        <v>369431</v>
      </c>
      <c r="Q61">
        <v>25802</v>
      </c>
    </row>
    <row r="62" spans="1:17" x14ac:dyDescent="0.35">
      <c r="A62" s="1">
        <v>45908</v>
      </c>
      <c r="B62" s="1" t="str">
        <f t="shared" si="0"/>
        <v>Monday</v>
      </c>
      <c r="C62" s="1" t="str">
        <f t="shared" si="1"/>
        <v>September</v>
      </c>
      <c r="D62" s="1" t="str">
        <f t="shared" si="2"/>
        <v>Q3</v>
      </c>
      <c r="E62" s="1" t="str">
        <f t="shared" si="3"/>
        <v>2025</v>
      </c>
      <c r="F62" t="s">
        <v>13</v>
      </c>
      <c r="G62" s="2">
        <v>2290</v>
      </c>
      <c r="H62" s="2">
        <v>2333.9</v>
      </c>
      <c r="I62" s="2">
        <v>2286</v>
      </c>
      <c r="J62" s="2">
        <v>2281.4</v>
      </c>
      <c r="K62" s="2">
        <v>2319</v>
      </c>
      <c r="L62" s="2">
        <v>2310.9</v>
      </c>
      <c r="M62" s="2">
        <v>2317.98</v>
      </c>
      <c r="N62" s="2">
        <v>3211</v>
      </c>
      <c r="O62" s="2">
        <v>2025</v>
      </c>
      <c r="P62">
        <v>542811</v>
      </c>
      <c r="Q62">
        <v>33564</v>
      </c>
    </row>
    <row r="63" spans="1:17" x14ac:dyDescent="0.35">
      <c r="A63" s="1">
        <v>45905</v>
      </c>
      <c r="B63" s="1" t="str">
        <f t="shared" si="0"/>
        <v>Friday</v>
      </c>
      <c r="C63" s="1" t="str">
        <f t="shared" si="1"/>
        <v>September</v>
      </c>
      <c r="D63" s="1" t="str">
        <f t="shared" si="2"/>
        <v>Q3</v>
      </c>
      <c r="E63" s="1" t="str">
        <f t="shared" si="3"/>
        <v>2025</v>
      </c>
      <c r="F63" t="s">
        <v>13</v>
      </c>
      <c r="G63" s="2">
        <v>2275</v>
      </c>
      <c r="H63" s="2">
        <v>2293.5</v>
      </c>
      <c r="I63" s="2">
        <v>2248</v>
      </c>
      <c r="J63" s="2">
        <v>2278.8000000000002</v>
      </c>
      <c r="K63" s="2">
        <v>2282.5</v>
      </c>
      <c r="L63" s="2">
        <v>2281.4</v>
      </c>
      <c r="M63" s="2">
        <v>2273.81</v>
      </c>
      <c r="N63" s="2">
        <v>3211</v>
      </c>
      <c r="O63" s="2">
        <v>2025</v>
      </c>
      <c r="P63">
        <v>443010</v>
      </c>
      <c r="Q63">
        <v>28096</v>
      </c>
    </row>
    <row r="64" spans="1:17" x14ac:dyDescent="0.35">
      <c r="A64" s="1">
        <v>45904</v>
      </c>
      <c r="B64" s="1" t="str">
        <f t="shared" si="0"/>
        <v>Thursday</v>
      </c>
      <c r="C64" s="1" t="str">
        <f t="shared" si="1"/>
        <v>September</v>
      </c>
      <c r="D64" s="1" t="str">
        <f t="shared" si="2"/>
        <v>Q3</v>
      </c>
      <c r="E64" s="1" t="str">
        <f t="shared" si="3"/>
        <v>2025</v>
      </c>
      <c r="F64" t="s">
        <v>13</v>
      </c>
      <c r="G64" s="2">
        <v>2309.9</v>
      </c>
      <c r="H64" s="2">
        <v>2317.3000000000002</v>
      </c>
      <c r="I64" s="2">
        <v>2275</v>
      </c>
      <c r="J64" s="2">
        <v>2288.6999999999998</v>
      </c>
      <c r="K64" s="2">
        <v>2280</v>
      </c>
      <c r="L64" s="2">
        <v>2278.8000000000002</v>
      </c>
      <c r="M64" s="2">
        <v>2291.33</v>
      </c>
      <c r="N64" s="2">
        <v>3211</v>
      </c>
      <c r="O64" s="2">
        <v>2025</v>
      </c>
      <c r="P64">
        <v>392697</v>
      </c>
      <c r="Q64">
        <v>29912</v>
      </c>
    </row>
    <row r="65" spans="1:17" x14ac:dyDescent="0.35">
      <c r="A65" s="1">
        <v>45903</v>
      </c>
      <c r="B65" s="1" t="str">
        <f t="shared" si="0"/>
        <v>Wednesday</v>
      </c>
      <c r="C65" s="1" t="str">
        <f t="shared" si="1"/>
        <v>September</v>
      </c>
      <c r="D65" s="1" t="str">
        <f t="shared" si="2"/>
        <v>Q3</v>
      </c>
      <c r="E65" s="1" t="str">
        <f t="shared" si="3"/>
        <v>2025</v>
      </c>
      <c r="F65" t="s">
        <v>13</v>
      </c>
      <c r="G65" s="2">
        <v>2285</v>
      </c>
      <c r="H65" s="2">
        <v>2293</v>
      </c>
      <c r="I65" s="2">
        <v>2263.1</v>
      </c>
      <c r="J65" s="2">
        <v>2274.1999999999998</v>
      </c>
      <c r="K65" s="2">
        <v>2292</v>
      </c>
      <c r="L65" s="2">
        <v>2288.6999999999998</v>
      </c>
      <c r="M65" s="2">
        <v>2279.5</v>
      </c>
      <c r="N65" s="2">
        <v>3211</v>
      </c>
      <c r="O65" s="2">
        <v>2025</v>
      </c>
      <c r="P65">
        <v>443629</v>
      </c>
      <c r="Q65">
        <v>28773</v>
      </c>
    </row>
    <row r="66" spans="1:17" x14ac:dyDescent="0.35">
      <c r="A66" s="1">
        <v>45902</v>
      </c>
      <c r="B66" s="1" t="str">
        <f t="shared" si="0"/>
        <v>Tuesday</v>
      </c>
      <c r="C66" s="1" t="str">
        <f t="shared" si="1"/>
        <v>September</v>
      </c>
      <c r="D66" s="1" t="str">
        <f t="shared" si="2"/>
        <v>Q3</v>
      </c>
      <c r="E66" s="1" t="str">
        <f t="shared" si="3"/>
        <v>2025</v>
      </c>
      <c r="F66" t="s">
        <v>13</v>
      </c>
      <c r="G66" s="2">
        <v>2291</v>
      </c>
      <c r="H66" s="2">
        <v>2302</v>
      </c>
      <c r="I66" s="2">
        <v>2264</v>
      </c>
      <c r="J66" s="2">
        <v>2284.1999999999998</v>
      </c>
      <c r="K66" s="2">
        <v>2278</v>
      </c>
      <c r="L66" s="2">
        <v>2274.1999999999998</v>
      </c>
      <c r="M66" s="2">
        <v>2283.41</v>
      </c>
      <c r="N66" s="2">
        <v>3211</v>
      </c>
      <c r="O66" s="2">
        <v>2025</v>
      </c>
      <c r="P66">
        <v>481894</v>
      </c>
      <c r="Q66">
        <v>37899</v>
      </c>
    </row>
    <row r="67" spans="1:17" x14ac:dyDescent="0.35">
      <c r="A67" s="1">
        <v>45901</v>
      </c>
      <c r="B67" s="1" t="str">
        <f t="shared" ref="B67:B130" si="4">TEXT(A67,"DDDD")</f>
        <v>Monday</v>
      </c>
      <c r="C67" s="1" t="str">
        <f t="shared" ref="C67:C130" si="5">TEXT(A67,"MMMM")</f>
        <v>September</v>
      </c>
      <c r="D67" s="1" t="str">
        <f t="shared" ref="D67:D130" si="6">"Q"&amp;ROUNDUP(MONTH(A67)/3,0)</f>
        <v>Q3</v>
      </c>
      <c r="E67" s="1" t="str">
        <f t="shared" ref="E67:E130" si="7">TEXT(A67,"YYYY")</f>
        <v>2025</v>
      </c>
      <c r="F67" t="s">
        <v>13</v>
      </c>
      <c r="G67" s="2">
        <v>2259</v>
      </c>
      <c r="H67" s="2">
        <v>2288</v>
      </c>
      <c r="I67" s="2">
        <v>2252.1</v>
      </c>
      <c r="J67" s="2">
        <v>2244.6999999999998</v>
      </c>
      <c r="K67" s="2">
        <v>2286.6</v>
      </c>
      <c r="L67" s="2">
        <v>2284.1999999999998</v>
      </c>
      <c r="M67" s="2">
        <v>2274.83</v>
      </c>
      <c r="N67" s="2">
        <v>3211</v>
      </c>
      <c r="O67" s="2">
        <v>2025</v>
      </c>
      <c r="P67">
        <v>425639</v>
      </c>
      <c r="Q67">
        <v>29502</v>
      </c>
    </row>
    <row r="68" spans="1:17" x14ac:dyDescent="0.35">
      <c r="A68" s="1">
        <v>45898</v>
      </c>
      <c r="B68" s="1" t="str">
        <f t="shared" si="4"/>
        <v>Friday</v>
      </c>
      <c r="C68" s="1" t="str">
        <f t="shared" si="5"/>
        <v>August</v>
      </c>
      <c r="D68" s="1" t="str">
        <f t="shared" si="6"/>
        <v>Q3</v>
      </c>
      <c r="E68" s="1" t="str">
        <f t="shared" si="7"/>
        <v>2025</v>
      </c>
      <c r="F68" t="s">
        <v>13</v>
      </c>
      <c r="G68" s="2">
        <v>2283</v>
      </c>
      <c r="H68" s="2">
        <v>2289.6999999999998</v>
      </c>
      <c r="I68" s="2">
        <v>2240</v>
      </c>
      <c r="J68" s="2">
        <v>2275.1999999999998</v>
      </c>
      <c r="K68" s="2">
        <v>2247.9</v>
      </c>
      <c r="L68" s="2">
        <v>2244.6999999999998</v>
      </c>
      <c r="M68" s="2">
        <v>2257.7199999999998</v>
      </c>
      <c r="N68" s="2">
        <v>3211</v>
      </c>
      <c r="O68" s="2">
        <v>2025</v>
      </c>
      <c r="P68">
        <v>795699</v>
      </c>
      <c r="Q68">
        <v>50217</v>
      </c>
    </row>
    <row r="69" spans="1:17" x14ac:dyDescent="0.35">
      <c r="A69" s="1">
        <v>45897</v>
      </c>
      <c r="B69" s="1" t="str">
        <f t="shared" si="4"/>
        <v>Thursday</v>
      </c>
      <c r="C69" s="1" t="str">
        <f t="shared" si="5"/>
        <v>August</v>
      </c>
      <c r="D69" s="1" t="str">
        <f t="shared" si="6"/>
        <v>Q3</v>
      </c>
      <c r="E69" s="1" t="str">
        <f t="shared" si="7"/>
        <v>2025</v>
      </c>
      <c r="F69" t="s">
        <v>13</v>
      </c>
      <c r="G69" s="2">
        <v>2271.9</v>
      </c>
      <c r="H69" s="2">
        <v>2327.9</v>
      </c>
      <c r="I69" s="2">
        <v>2255</v>
      </c>
      <c r="J69" s="2">
        <v>2272</v>
      </c>
      <c r="K69" s="2">
        <v>2282.1</v>
      </c>
      <c r="L69" s="2">
        <v>2275.1999999999998</v>
      </c>
      <c r="M69" s="2">
        <v>2295.19</v>
      </c>
      <c r="N69" s="2">
        <v>3211</v>
      </c>
      <c r="O69" s="2">
        <v>2025</v>
      </c>
      <c r="P69">
        <v>907868</v>
      </c>
      <c r="Q69">
        <v>55327</v>
      </c>
    </row>
    <row r="70" spans="1:17" x14ac:dyDescent="0.35">
      <c r="A70" s="1">
        <v>45895</v>
      </c>
      <c r="B70" s="1" t="str">
        <f t="shared" si="4"/>
        <v>Tuesday</v>
      </c>
      <c r="C70" s="1" t="str">
        <f t="shared" si="5"/>
        <v>August</v>
      </c>
      <c r="D70" s="1" t="str">
        <f t="shared" si="6"/>
        <v>Q3</v>
      </c>
      <c r="E70" s="1" t="str">
        <f t="shared" si="7"/>
        <v>2025</v>
      </c>
      <c r="F70" t="s">
        <v>13</v>
      </c>
      <c r="G70" s="2">
        <v>2304</v>
      </c>
      <c r="H70" s="2">
        <v>2309.3000000000002</v>
      </c>
      <c r="I70" s="2">
        <v>2249.4</v>
      </c>
      <c r="J70" s="2">
        <v>2302.9</v>
      </c>
      <c r="K70" s="2">
        <v>2286</v>
      </c>
      <c r="L70" s="2">
        <v>2272</v>
      </c>
      <c r="M70" s="2">
        <v>2271.65</v>
      </c>
      <c r="N70" s="2">
        <v>3211</v>
      </c>
      <c r="O70" s="2">
        <v>2025</v>
      </c>
      <c r="P70">
        <v>1071550</v>
      </c>
      <c r="Q70">
        <v>49449</v>
      </c>
    </row>
    <row r="71" spans="1:17" x14ac:dyDescent="0.35">
      <c r="A71" s="1">
        <v>45894</v>
      </c>
      <c r="B71" s="1" t="str">
        <f t="shared" si="4"/>
        <v>Monday</v>
      </c>
      <c r="C71" s="1" t="str">
        <f t="shared" si="5"/>
        <v>August</v>
      </c>
      <c r="D71" s="1" t="str">
        <f t="shared" si="6"/>
        <v>Q3</v>
      </c>
      <c r="E71" s="1" t="str">
        <f t="shared" si="7"/>
        <v>2025</v>
      </c>
      <c r="F71" t="s">
        <v>13</v>
      </c>
      <c r="G71" s="2">
        <v>2335.6999999999998</v>
      </c>
      <c r="H71" s="2">
        <v>2348.4</v>
      </c>
      <c r="I71" s="2">
        <v>2300</v>
      </c>
      <c r="J71" s="2">
        <v>2324.9</v>
      </c>
      <c r="K71" s="2">
        <v>2302.8000000000002</v>
      </c>
      <c r="L71" s="2">
        <v>2302.9</v>
      </c>
      <c r="M71" s="2">
        <v>2317.89</v>
      </c>
      <c r="N71" s="2">
        <v>3211</v>
      </c>
      <c r="O71" s="2">
        <v>2025</v>
      </c>
      <c r="P71">
        <v>542455</v>
      </c>
      <c r="Q71">
        <v>28277</v>
      </c>
    </row>
    <row r="72" spans="1:17" x14ac:dyDescent="0.35">
      <c r="A72" s="1">
        <v>45891</v>
      </c>
      <c r="B72" s="1" t="str">
        <f t="shared" si="4"/>
        <v>Friday</v>
      </c>
      <c r="C72" s="1" t="str">
        <f t="shared" si="5"/>
        <v>August</v>
      </c>
      <c r="D72" s="1" t="str">
        <f t="shared" si="6"/>
        <v>Q3</v>
      </c>
      <c r="E72" s="1" t="str">
        <f t="shared" si="7"/>
        <v>2025</v>
      </c>
      <c r="F72" t="s">
        <v>13</v>
      </c>
      <c r="G72" s="2">
        <v>2369.9</v>
      </c>
      <c r="H72" s="2">
        <v>2376.3000000000002</v>
      </c>
      <c r="I72" s="2">
        <v>2321</v>
      </c>
      <c r="J72" s="2">
        <v>2377.1999999999998</v>
      </c>
      <c r="K72" s="2">
        <v>2323</v>
      </c>
      <c r="L72" s="2">
        <v>2324.9</v>
      </c>
      <c r="M72" s="2">
        <v>2338.1799999999998</v>
      </c>
      <c r="N72" s="2">
        <v>3211</v>
      </c>
      <c r="O72" s="2">
        <v>2025</v>
      </c>
      <c r="P72">
        <v>584211</v>
      </c>
      <c r="Q72">
        <v>34341</v>
      </c>
    </row>
    <row r="73" spans="1:17" x14ac:dyDescent="0.35">
      <c r="A73" s="1">
        <v>45890</v>
      </c>
      <c r="B73" s="1" t="str">
        <f t="shared" si="4"/>
        <v>Thursday</v>
      </c>
      <c r="C73" s="1" t="str">
        <f t="shared" si="5"/>
        <v>August</v>
      </c>
      <c r="D73" s="1" t="str">
        <f t="shared" si="6"/>
        <v>Q3</v>
      </c>
      <c r="E73" s="1" t="str">
        <f t="shared" si="7"/>
        <v>2025</v>
      </c>
      <c r="F73" t="s">
        <v>13</v>
      </c>
      <c r="G73" s="2">
        <v>2387.1</v>
      </c>
      <c r="H73" s="2">
        <v>2397</v>
      </c>
      <c r="I73" s="2">
        <v>2371.4</v>
      </c>
      <c r="J73" s="2">
        <v>2387.1</v>
      </c>
      <c r="K73" s="2">
        <v>2373</v>
      </c>
      <c r="L73" s="2">
        <v>2377.1999999999998</v>
      </c>
      <c r="M73" s="2">
        <v>2384.83</v>
      </c>
      <c r="N73" s="2">
        <v>3211</v>
      </c>
      <c r="O73" s="2">
        <v>2025</v>
      </c>
      <c r="P73">
        <v>441867</v>
      </c>
      <c r="Q73">
        <v>24817</v>
      </c>
    </row>
    <row r="74" spans="1:17" x14ac:dyDescent="0.35">
      <c r="A74" s="1">
        <v>45889</v>
      </c>
      <c r="B74" s="1" t="str">
        <f t="shared" si="4"/>
        <v>Wednesday</v>
      </c>
      <c r="C74" s="1" t="str">
        <f t="shared" si="5"/>
        <v>August</v>
      </c>
      <c r="D74" s="1" t="str">
        <f t="shared" si="6"/>
        <v>Q3</v>
      </c>
      <c r="E74" s="1" t="str">
        <f t="shared" si="7"/>
        <v>2025</v>
      </c>
      <c r="F74" t="s">
        <v>13</v>
      </c>
      <c r="G74" s="2">
        <v>2380</v>
      </c>
      <c r="H74" s="2">
        <v>2406</v>
      </c>
      <c r="I74" s="2">
        <v>2372.1</v>
      </c>
      <c r="J74" s="2">
        <v>2388.4</v>
      </c>
      <c r="K74" s="2">
        <v>2391</v>
      </c>
      <c r="L74" s="2">
        <v>2387.1</v>
      </c>
      <c r="M74" s="2">
        <v>2389.9299999999998</v>
      </c>
      <c r="N74" s="2">
        <v>3211</v>
      </c>
      <c r="O74" s="2">
        <v>2025</v>
      </c>
      <c r="P74">
        <v>780025</v>
      </c>
      <c r="Q74">
        <v>34030</v>
      </c>
    </row>
    <row r="75" spans="1:17" x14ac:dyDescent="0.35">
      <c r="A75" s="1">
        <v>45888</v>
      </c>
      <c r="B75" s="1" t="str">
        <f t="shared" si="4"/>
        <v>Tuesday</v>
      </c>
      <c r="C75" s="1" t="str">
        <f t="shared" si="5"/>
        <v>August</v>
      </c>
      <c r="D75" s="1" t="str">
        <f t="shared" si="6"/>
        <v>Q3</v>
      </c>
      <c r="E75" s="1" t="str">
        <f t="shared" si="7"/>
        <v>2025</v>
      </c>
      <c r="F75" t="s">
        <v>13</v>
      </c>
      <c r="G75" s="2">
        <v>2339.9</v>
      </c>
      <c r="H75" s="2">
        <v>2395.6</v>
      </c>
      <c r="I75" s="2">
        <v>2314.1</v>
      </c>
      <c r="J75" s="2">
        <v>2333.6</v>
      </c>
      <c r="K75" s="2">
        <v>2380.6999999999998</v>
      </c>
      <c r="L75" s="2">
        <v>2388.4</v>
      </c>
      <c r="M75" s="2">
        <v>2368.1799999999998</v>
      </c>
      <c r="N75" s="2">
        <v>3211</v>
      </c>
      <c r="O75" s="2">
        <v>2025</v>
      </c>
      <c r="P75">
        <v>1069432</v>
      </c>
      <c r="Q75">
        <v>58469</v>
      </c>
    </row>
    <row r="76" spans="1:17" x14ac:dyDescent="0.35">
      <c r="A76" s="1">
        <v>45887</v>
      </c>
      <c r="B76" s="1" t="str">
        <f t="shared" si="4"/>
        <v>Monday</v>
      </c>
      <c r="C76" s="1" t="str">
        <f t="shared" si="5"/>
        <v>August</v>
      </c>
      <c r="D76" s="1" t="str">
        <f t="shared" si="6"/>
        <v>Q3</v>
      </c>
      <c r="E76" s="1" t="str">
        <f t="shared" si="7"/>
        <v>2025</v>
      </c>
      <c r="F76" t="s">
        <v>13</v>
      </c>
      <c r="G76" s="2">
        <v>2309.6</v>
      </c>
      <c r="H76" s="2">
        <v>2360</v>
      </c>
      <c r="I76" s="2">
        <v>2300</v>
      </c>
      <c r="J76" s="2">
        <v>2281.6</v>
      </c>
      <c r="K76" s="2">
        <v>2325.5</v>
      </c>
      <c r="L76" s="2">
        <v>2333.6</v>
      </c>
      <c r="M76" s="2">
        <v>2339.34</v>
      </c>
      <c r="N76" s="2">
        <v>3211</v>
      </c>
      <c r="O76" s="2">
        <v>2025</v>
      </c>
      <c r="P76">
        <v>988629</v>
      </c>
      <c r="Q76">
        <v>45655</v>
      </c>
    </row>
    <row r="77" spans="1:17" x14ac:dyDescent="0.35">
      <c r="A77" s="1">
        <v>45883</v>
      </c>
      <c r="B77" s="1" t="str">
        <f t="shared" si="4"/>
        <v>Thursday</v>
      </c>
      <c r="C77" s="1" t="str">
        <f t="shared" si="5"/>
        <v>August</v>
      </c>
      <c r="D77" s="1" t="str">
        <f t="shared" si="6"/>
        <v>Q3</v>
      </c>
      <c r="E77" s="1" t="str">
        <f t="shared" si="7"/>
        <v>2025</v>
      </c>
      <c r="F77" t="s">
        <v>13</v>
      </c>
      <c r="G77" s="2">
        <v>2288</v>
      </c>
      <c r="H77" s="2">
        <v>2304</v>
      </c>
      <c r="I77" s="2">
        <v>2267.6999999999998</v>
      </c>
      <c r="J77" s="2">
        <v>2280.1</v>
      </c>
      <c r="K77" s="2">
        <v>2280.1</v>
      </c>
      <c r="L77" s="2">
        <v>2281.6</v>
      </c>
      <c r="M77" s="2">
        <v>2285.6</v>
      </c>
      <c r="N77" s="2">
        <v>3211</v>
      </c>
      <c r="O77" s="2">
        <v>2025</v>
      </c>
      <c r="P77">
        <v>998109</v>
      </c>
      <c r="Q77">
        <v>39420</v>
      </c>
    </row>
    <row r="78" spans="1:17" x14ac:dyDescent="0.35">
      <c r="A78" s="1">
        <v>45882</v>
      </c>
      <c r="B78" s="1" t="str">
        <f t="shared" si="4"/>
        <v>Wednesday</v>
      </c>
      <c r="C78" s="1" t="str">
        <f t="shared" si="5"/>
        <v>August</v>
      </c>
      <c r="D78" s="1" t="str">
        <f t="shared" si="6"/>
        <v>Q3</v>
      </c>
      <c r="E78" s="1" t="str">
        <f t="shared" si="7"/>
        <v>2025</v>
      </c>
      <c r="F78" t="s">
        <v>13</v>
      </c>
      <c r="G78" s="2">
        <v>2299</v>
      </c>
      <c r="H78" s="2">
        <v>2314.9</v>
      </c>
      <c r="I78" s="2">
        <v>2245.4</v>
      </c>
      <c r="J78" s="2">
        <v>2288.1999999999998</v>
      </c>
      <c r="K78" s="2">
        <v>2287</v>
      </c>
      <c r="L78" s="2">
        <v>2280.1</v>
      </c>
      <c r="M78" s="2">
        <v>2278.92</v>
      </c>
      <c r="N78" s="2">
        <v>3211</v>
      </c>
      <c r="O78" s="2">
        <v>2025</v>
      </c>
      <c r="P78">
        <v>833679</v>
      </c>
      <c r="Q78">
        <v>42397</v>
      </c>
    </row>
    <row r="79" spans="1:17" x14ac:dyDescent="0.35">
      <c r="A79" s="1">
        <v>45881</v>
      </c>
      <c r="B79" s="1" t="str">
        <f t="shared" si="4"/>
        <v>Tuesday</v>
      </c>
      <c r="C79" s="1" t="str">
        <f t="shared" si="5"/>
        <v>August</v>
      </c>
      <c r="D79" s="1" t="str">
        <f t="shared" si="6"/>
        <v>Q3</v>
      </c>
      <c r="E79" s="1" t="str">
        <f t="shared" si="7"/>
        <v>2025</v>
      </c>
      <c r="F79" t="s">
        <v>13</v>
      </c>
      <c r="G79" s="2">
        <v>2280.1</v>
      </c>
      <c r="H79" s="2">
        <v>2314.6999999999998</v>
      </c>
      <c r="I79" s="2">
        <v>2267</v>
      </c>
      <c r="J79" s="2">
        <v>2283.4</v>
      </c>
      <c r="K79" s="2">
        <v>2294.5</v>
      </c>
      <c r="L79" s="2">
        <v>2288.1999999999998</v>
      </c>
      <c r="M79" s="2">
        <v>2290.14</v>
      </c>
      <c r="N79" s="2">
        <v>3211</v>
      </c>
      <c r="O79" s="2">
        <v>2025</v>
      </c>
      <c r="P79">
        <v>1075526</v>
      </c>
      <c r="Q79">
        <v>61725</v>
      </c>
    </row>
    <row r="80" spans="1:17" x14ac:dyDescent="0.35">
      <c r="A80" s="1">
        <v>45880</v>
      </c>
      <c r="B80" s="1" t="str">
        <f t="shared" si="4"/>
        <v>Monday</v>
      </c>
      <c r="C80" s="1" t="str">
        <f t="shared" si="5"/>
        <v>August</v>
      </c>
      <c r="D80" s="1" t="str">
        <f t="shared" si="6"/>
        <v>Q3</v>
      </c>
      <c r="E80" s="1" t="str">
        <f t="shared" si="7"/>
        <v>2025</v>
      </c>
      <c r="F80" t="s">
        <v>13</v>
      </c>
      <c r="G80" s="2">
        <v>2196</v>
      </c>
      <c r="H80" s="2">
        <v>2302</v>
      </c>
      <c r="I80" s="2">
        <v>2183</v>
      </c>
      <c r="J80" s="2">
        <v>2178.1</v>
      </c>
      <c r="K80" s="2">
        <v>2270.1999999999998</v>
      </c>
      <c r="L80" s="2">
        <v>2283.4</v>
      </c>
      <c r="M80" s="2">
        <v>2257.64</v>
      </c>
      <c r="N80" s="2">
        <v>3211</v>
      </c>
      <c r="O80" s="2">
        <v>2025</v>
      </c>
      <c r="P80">
        <v>2376286</v>
      </c>
      <c r="Q80">
        <v>118272</v>
      </c>
    </row>
    <row r="81" spans="1:17" x14ac:dyDescent="0.35">
      <c r="A81" s="1">
        <v>45877</v>
      </c>
      <c r="B81" s="1" t="str">
        <f t="shared" si="4"/>
        <v>Friday</v>
      </c>
      <c r="C81" s="1" t="str">
        <f t="shared" si="5"/>
        <v>August</v>
      </c>
      <c r="D81" s="1" t="str">
        <f t="shared" si="6"/>
        <v>Q3</v>
      </c>
      <c r="E81" s="1" t="str">
        <f t="shared" si="7"/>
        <v>2025</v>
      </c>
      <c r="F81" t="s">
        <v>13</v>
      </c>
      <c r="G81" s="2">
        <v>2247</v>
      </c>
      <c r="H81" s="2">
        <v>2260.9</v>
      </c>
      <c r="I81" s="2">
        <v>2164.8000000000002</v>
      </c>
      <c r="J81" s="2">
        <v>2249.8000000000002</v>
      </c>
      <c r="K81" s="2">
        <v>2179</v>
      </c>
      <c r="L81" s="2">
        <v>2178.1</v>
      </c>
      <c r="M81" s="2">
        <v>2185.27</v>
      </c>
      <c r="N81" s="2">
        <v>3242.65</v>
      </c>
      <c r="O81" s="2">
        <v>2025</v>
      </c>
      <c r="P81">
        <v>2552736</v>
      </c>
      <c r="Q81">
        <v>101023</v>
      </c>
    </row>
    <row r="82" spans="1:17" x14ac:dyDescent="0.35">
      <c r="A82" s="1">
        <v>45876</v>
      </c>
      <c r="B82" s="1" t="str">
        <f t="shared" si="4"/>
        <v>Thursday</v>
      </c>
      <c r="C82" s="1" t="str">
        <f t="shared" si="5"/>
        <v>August</v>
      </c>
      <c r="D82" s="1" t="str">
        <f t="shared" si="6"/>
        <v>Q3</v>
      </c>
      <c r="E82" s="1" t="str">
        <f t="shared" si="7"/>
        <v>2025</v>
      </c>
      <c r="F82" t="s">
        <v>13</v>
      </c>
      <c r="G82" s="2">
        <v>2290</v>
      </c>
      <c r="H82" s="2">
        <v>2295</v>
      </c>
      <c r="I82" s="2">
        <v>2202.8000000000002</v>
      </c>
      <c r="J82" s="2">
        <v>2300.3000000000002</v>
      </c>
      <c r="K82" s="2">
        <v>2245.9</v>
      </c>
      <c r="L82" s="2">
        <v>2249.8000000000002</v>
      </c>
      <c r="M82" s="2">
        <v>2244.12</v>
      </c>
      <c r="N82" s="2">
        <v>3242.65</v>
      </c>
      <c r="O82" s="2">
        <v>2025</v>
      </c>
      <c r="P82">
        <v>1529410</v>
      </c>
      <c r="Q82">
        <v>72389</v>
      </c>
    </row>
    <row r="83" spans="1:17" x14ac:dyDescent="0.35">
      <c r="A83" s="1">
        <v>45875</v>
      </c>
      <c r="B83" s="1" t="str">
        <f t="shared" si="4"/>
        <v>Wednesday</v>
      </c>
      <c r="C83" s="1" t="str">
        <f t="shared" si="5"/>
        <v>August</v>
      </c>
      <c r="D83" s="1" t="str">
        <f t="shared" si="6"/>
        <v>Q3</v>
      </c>
      <c r="E83" s="1" t="str">
        <f t="shared" si="7"/>
        <v>2025</v>
      </c>
      <c r="F83" t="s">
        <v>13</v>
      </c>
      <c r="G83" s="2">
        <v>2333.9</v>
      </c>
      <c r="H83" s="2">
        <v>2347.9</v>
      </c>
      <c r="I83" s="2">
        <v>2296</v>
      </c>
      <c r="J83" s="2">
        <v>2328.1999999999998</v>
      </c>
      <c r="K83" s="2">
        <v>2300</v>
      </c>
      <c r="L83" s="2">
        <v>2300.3000000000002</v>
      </c>
      <c r="M83" s="2">
        <v>2311.6</v>
      </c>
      <c r="N83" s="2">
        <v>3242.65</v>
      </c>
      <c r="O83" s="2">
        <v>2025</v>
      </c>
      <c r="P83">
        <v>631582</v>
      </c>
      <c r="Q83">
        <v>35196</v>
      </c>
    </row>
    <row r="84" spans="1:17" x14ac:dyDescent="0.35">
      <c r="A84" s="1">
        <v>45874</v>
      </c>
      <c r="B84" s="1" t="str">
        <f t="shared" si="4"/>
        <v>Tuesday</v>
      </c>
      <c r="C84" s="1" t="str">
        <f t="shared" si="5"/>
        <v>August</v>
      </c>
      <c r="D84" s="1" t="str">
        <f t="shared" si="6"/>
        <v>Q3</v>
      </c>
      <c r="E84" s="1" t="str">
        <f t="shared" si="7"/>
        <v>2025</v>
      </c>
      <c r="F84" t="s">
        <v>13</v>
      </c>
      <c r="G84" s="2">
        <v>2370</v>
      </c>
      <c r="H84" s="2">
        <v>2370</v>
      </c>
      <c r="I84" s="2">
        <v>2316</v>
      </c>
      <c r="J84" s="2">
        <v>2363.6</v>
      </c>
      <c r="K84" s="2">
        <v>2333</v>
      </c>
      <c r="L84" s="2">
        <v>2328.1999999999998</v>
      </c>
      <c r="M84" s="2">
        <v>2333.4299999999998</v>
      </c>
      <c r="N84" s="2">
        <v>3242.65</v>
      </c>
      <c r="O84" s="2">
        <v>2025</v>
      </c>
      <c r="P84">
        <v>576742</v>
      </c>
      <c r="Q84">
        <v>36761</v>
      </c>
    </row>
    <row r="85" spans="1:17" x14ac:dyDescent="0.35">
      <c r="A85" s="1">
        <v>45873</v>
      </c>
      <c r="B85" s="1" t="str">
        <f t="shared" si="4"/>
        <v>Monday</v>
      </c>
      <c r="C85" s="1" t="str">
        <f t="shared" si="5"/>
        <v>August</v>
      </c>
      <c r="D85" s="1" t="str">
        <f t="shared" si="6"/>
        <v>Q3</v>
      </c>
      <c r="E85" s="1" t="str">
        <f t="shared" si="7"/>
        <v>2025</v>
      </c>
      <c r="F85" t="s">
        <v>13</v>
      </c>
      <c r="G85" s="2">
        <v>2360</v>
      </c>
      <c r="H85" s="2">
        <v>2374.6999999999998</v>
      </c>
      <c r="I85" s="2">
        <v>2338.1999999999998</v>
      </c>
      <c r="J85" s="2">
        <v>2350.9</v>
      </c>
      <c r="K85" s="2">
        <v>2364.6999999999998</v>
      </c>
      <c r="L85" s="2">
        <v>2363.6</v>
      </c>
      <c r="M85" s="2">
        <v>2358.52</v>
      </c>
      <c r="N85" s="2">
        <v>3242.65</v>
      </c>
      <c r="O85" s="2">
        <v>2025</v>
      </c>
      <c r="P85">
        <v>576426</v>
      </c>
      <c r="Q85">
        <v>35680</v>
      </c>
    </row>
    <row r="86" spans="1:17" x14ac:dyDescent="0.35">
      <c r="A86" s="1">
        <v>45870</v>
      </c>
      <c r="B86" s="1" t="str">
        <f t="shared" si="4"/>
        <v>Friday</v>
      </c>
      <c r="C86" s="1" t="str">
        <f t="shared" si="5"/>
        <v>August</v>
      </c>
      <c r="D86" s="1" t="str">
        <f t="shared" si="6"/>
        <v>Q3</v>
      </c>
      <c r="E86" s="1" t="str">
        <f t="shared" si="7"/>
        <v>2025</v>
      </c>
      <c r="F86" t="s">
        <v>13</v>
      </c>
      <c r="G86" s="2">
        <v>2425</v>
      </c>
      <c r="H86" s="2">
        <v>2444.9</v>
      </c>
      <c r="I86" s="2">
        <v>2333</v>
      </c>
      <c r="J86" s="2">
        <v>2430.6999999999998</v>
      </c>
      <c r="K86" s="2">
        <v>2341.5</v>
      </c>
      <c r="L86" s="2">
        <v>2350.9</v>
      </c>
      <c r="M86" s="2">
        <v>2387.3000000000002</v>
      </c>
      <c r="N86" s="2">
        <v>3258</v>
      </c>
      <c r="O86" s="2">
        <v>2025</v>
      </c>
      <c r="P86">
        <v>976341</v>
      </c>
      <c r="Q86">
        <v>50438</v>
      </c>
    </row>
    <row r="87" spans="1:17" x14ac:dyDescent="0.35">
      <c r="A87" s="1">
        <v>45869</v>
      </c>
      <c r="B87" s="1" t="str">
        <f t="shared" si="4"/>
        <v>Thursday</v>
      </c>
      <c r="C87" s="1" t="str">
        <f t="shared" si="5"/>
        <v>July</v>
      </c>
      <c r="D87" s="1" t="str">
        <f t="shared" si="6"/>
        <v>Q3</v>
      </c>
      <c r="E87" s="1" t="str">
        <f t="shared" si="7"/>
        <v>2025</v>
      </c>
      <c r="F87" t="s">
        <v>13</v>
      </c>
      <c r="G87" s="2">
        <v>2509.9</v>
      </c>
      <c r="H87" s="2">
        <v>2520</v>
      </c>
      <c r="I87" s="2">
        <v>2422.6</v>
      </c>
      <c r="J87" s="2">
        <v>2532.9</v>
      </c>
      <c r="K87" s="2">
        <v>2430</v>
      </c>
      <c r="L87" s="2">
        <v>2430.6999999999998</v>
      </c>
      <c r="M87" s="2">
        <v>2466.4699999999998</v>
      </c>
      <c r="N87" s="2">
        <v>3258</v>
      </c>
      <c r="O87" s="2">
        <v>2025</v>
      </c>
      <c r="P87">
        <v>1457616</v>
      </c>
      <c r="Q87">
        <v>74728</v>
      </c>
    </row>
    <row r="88" spans="1:17" x14ac:dyDescent="0.35">
      <c r="A88" s="1">
        <v>45868</v>
      </c>
      <c r="B88" s="1" t="str">
        <f t="shared" si="4"/>
        <v>Wednesday</v>
      </c>
      <c r="C88" s="1" t="str">
        <f t="shared" si="5"/>
        <v>July</v>
      </c>
      <c r="D88" s="1" t="str">
        <f t="shared" si="6"/>
        <v>Q3</v>
      </c>
      <c r="E88" s="1" t="str">
        <f t="shared" si="7"/>
        <v>2025</v>
      </c>
      <c r="F88" t="s">
        <v>13</v>
      </c>
      <c r="G88" s="2">
        <v>2547.9</v>
      </c>
      <c r="H88" s="2">
        <v>2552.6</v>
      </c>
      <c r="I88" s="2">
        <v>2525</v>
      </c>
      <c r="J88" s="2">
        <v>2547.9</v>
      </c>
      <c r="K88" s="2">
        <v>2527</v>
      </c>
      <c r="L88" s="2">
        <v>2532.9</v>
      </c>
      <c r="M88" s="2">
        <v>2541.06</v>
      </c>
      <c r="N88" s="2">
        <v>3258</v>
      </c>
      <c r="O88" s="2">
        <v>2025</v>
      </c>
      <c r="P88">
        <v>262063</v>
      </c>
      <c r="Q88">
        <v>22733</v>
      </c>
    </row>
    <row r="89" spans="1:17" x14ac:dyDescent="0.35">
      <c r="A89" s="1">
        <v>45867</v>
      </c>
      <c r="B89" s="1" t="str">
        <f t="shared" si="4"/>
        <v>Tuesday</v>
      </c>
      <c r="C89" s="1" t="str">
        <f t="shared" si="5"/>
        <v>July</v>
      </c>
      <c r="D89" s="1" t="str">
        <f t="shared" si="6"/>
        <v>Q3</v>
      </c>
      <c r="E89" s="1" t="str">
        <f t="shared" si="7"/>
        <v>2025</v>
      </c>
      <c r="F89" t="s">
        <v>13</v>
      </c>
      <c r="G89" s="2">
        <v>2529</v>
      </c>
      <c r="H89" s="2">
        <v>2557.4</v>
      </c>
      <c r="I89" s="2">
        <v>2507.5</v>
      </c>
      <c r="J89" s="2">
        <v>2522.3000000000002</v>
      </c>
      <c r="K89" s="2">
        <v>2545.5</v>
      </c>
      <c r="L89" s="2">
        <v>2547.9</v>
      </c>
      <c r="M89" s="2">
        <v>2534.7199999999998</v>
      </c>
      <c r="N89" s="2">
        <v>3258</v>
      </c>
      <c r="O89" s="2">
        <v>2025</v>
      </c>
      <c r="P89">
        <v>424781</v>
      </c>
      <c r="Q89">
        <v>32528</v>
      </c>
    </row>
    <row r="90" spans="1:17" x14ac:dyDescent="0.35">
      <c r="A90" s="1">
        <v>45866</v>
      </c>
      <c r="B90" s="1" t="str">
        <f t="shared" si="4"/>
        <v>Monday</v>
      </c>
      <c r="C90" s="1" t="str">
        <f t="shared" si="5"/>
        <v>July</v>
      </c>
      <c r="D90" s="1" t="str">
        <f t="shared" si="6"/>
        <v>Q3</v>
      </c>
      <c r="E90" s="1" t="str">
        <f t="shared" si="7"/>
        <v>2025</v>
      </c>
      <c r="F90" t="s">
        <v>13</v>
      </c>
      <c r="G90" s="2">
        <v>2549</v>
      </c>
      <c r="H90" s="2">
        <v>2585</v>
      </c>
      <c r="I90" s="2">
        <v>2512.6</v>
      </c>
      <c r="J90" s="2">
        <v>2550.1</v>
      </c>
      <c r="K90" s="2">
        <v>2528</v>
      </c>
      <c r="L90" s="2">
        <v>2522.3000000000002</v>
      </c>
      <c r="M90" s="2">
        <v>2545.5500000000002</v>
      </c>
      <c r="N90" s="2">
        <v>3258</v>
      </c>
      <c r="O90" s="2">
        <v>2025</v>
      </c>
      <c r="P90">
        <v>428409</v>
      </c>
      <c r="Q90">
        <v>33834</v>
      </c>
    </row>
    <row r="91" spans="1:17" x14ac:dyDescent="0.35">
      <c r="A91" s="1">
        <v>45863</v>
      </c>
      <c r="B91" s="1" t="str">
        <f t="shared" si="4"/>
        <v>Friday</v>
      </c>
      <c r="C91" s="1" t="str">
        <f t="shared" si="5"/>
        <v>July</v>
      </c>
      <c r="D91" s="1" t="str">
        <f t="shared" si="6"/>
        <v>Q3</v>
      </c>
      <c r="E91" s="1" t="str">
        <f t="shared" si="7"/>
        <v>2025</v>
      </c>
      <c r="F91" t="s">
        <v>13</v>
      </c>
      <c r="G91" s="2">
        <v>2605</v>
      </c>
      <c r="H91" s="2">
        <v>2617</v>
      </c>
      <c r="I91" s="2">
        <v>2544.1</v>
      </c>
      <c r="J91" s="2">
        <v>2608.4</v>
      </c>
      <c r="K91" s="2">
        <v>2549.5</v>
      </c>
      <c r="L91" s="2">
        <v>2550.1</v>
      </c>
      <c r="M91" s="2">
        <v>2568.46</v>
      </c>
      <c r="N91" s="2">
        <v>3258</v>
      </c>
      <c r="O91" s="2">
        <v>2025</v>
      </c>
      <c r="P91">
        <v>424612</v>
      </c>
      <c r="Q91">
        <v>30247</v>
      </c>
    </row>
    <row r="92" spans="1:17" x14ac:dyDescent="0.35">
      <c r="A92" s="1">
        <v>45862</v>
      </c>
      <c r="B92" s="1" t="str">
        <f t="shared" si="4"/>
        <v>Thursday</v>
      </c>
      <c r="C92" s="1" t="str">
        <f t="shared" si="5"/>
        <v>July</v>
      </c>
      <c r="D92" s="1" t="str">
        <f t="shared" si="6"/>
        <v>Q3</v>
      </c>
      <c r="E92" s="1" t="str">
        <f t="shared" si="7"/>
        <v>2025</v>
      </c>
      <c r="F92" t="s">
        <v>13</v>
      </c>
      <c r="G92" s="2">
        <v>2615.4</v>
      </c>
      <c r="H92" s="2">
        <v>2624.2</v>
      </c>
      <c r="I92" s="2">
        <v>2595</v>
      </c>
      <c r="J92" s="2">
        <v>2614.5</v>
      </c>
      <c r="K92" s="2">
        <v>2608</v>
      </c>
      <c r="L92" s="2">
        <v>2608.4</v>
      </c>
      <c r="M92" s="2">
        <v>2607.65</v>
      </c>
      <c r="N92" s="2">
        <v>3258</v>
      </c>
      <c r="O92" s="2">
        <v>2025</v>
      </c>
      <c r="P92">
        <v>253782</v>
      </c>
      <c r="Q92">
        <v>22026</v>
      </c>
    </row>
    <row r="93" spans="1:17" x14ac:dyDescent="0.35">
      <c r="A93" s="1">
        <v>45861</v>
      </c>
      <c r="B93" s="1" t="str">
        <f t="shared" si="4"/>
        <v>Wednesday</v>
      </c>
      <c r="C93" s="1" t="str">
        <f t="shared" si="5"/>
        <v>July</v>
      </c>
      <c r="D93" s="1" t="str">
        <f t="shared" si="6"/>
        <v>Q3</v>
      </c>
      <c r="E93" s="1" t="str">
        <f t="shared" si="7"/>
        <v>2025</v>
      </c>
      <c r="F93" t="s">
        <v>13</v>
      </c>
      <c r="G93" s="2">
        <v>2600.6999999999998</v>
      </c>
      <c r="H93" s="2">
        <v>2625.9</v>
      </c>
      <c r="I93" s="2">
        <v>2593.5</v>
      </c>
      <c r="J93" s="2">
        <v>2587.8000000000002</v>
      </c>
      <c r="K93" s="2">
        <v>2615.5</v>
      </c>
      <c r="L93" s="2">
        <v>2614.5</v>
      </c>
      <c r="M93" s="2">
        <v>2612.73</v>
      </c>
      <c r="N93" s="2">
        <v>3258</v>
      </c>
      <c r="O93" s="2">
        <v>2025</v>
      </c>
      <c r="P93">
        <v>316424</v>
      </c>
      <c r="Q93">
        <v>24447</v>
      </c>
    </row>
    <row r="94" spans="1:17" x14ac:dyDescent="0.35">
      <c r="A94" s="1">
        <v>45860</v>
      </c>
      <c r="B94" s="1" t="str">
        <f t="shared" si="4"/>
        <v>Tuesday</v>
      </c>
      <c r="C94" s="1" t="str">
        <f t="shared" si="5"/>
        <v>July</v>
      </c>
      <c r="D94" s="1" t="str">
        <f t="shared" si="6"/>
        <v>Q3</v>
      </c>
      <c r="E94" s="1" t="str">
        <f t="shared" si="7"/>
        <v>2025</v>
      </c>
      <c r="F94" t="s">
        <v>13</v>
      </c>
      <c r="G94" s="2">
        <v>2626</v>
      </c>
      <c r="H94" s="2">
        <v>2630</v>
      </c>
      <c r="I94" s="2">
        <v>2581.6</v>
      </c>
      <c r="J94" s="2">
        <v>2619.5</v>
      </c>
      <c r="K94" s="2">
        <v>2593.9</v>
      </c>
      <c r="L94" s="2">
        <v>2587.8000000000002</v>
      </c>
      <c r="M94" s="2">
        <v>2599.9899999999998</v>
      </c>
      <c r="N94" s="2">
        <v>3258</v>
      </c>
      <c r="O94" s="2">
        <v>2025</v>
      </c>
      <c r="P94">
        <v>387055</v>
      </c>
      <c r="Q94">
        <v>25897</v>
      </c>
    </row>
    <row r="95" spans="1:17" x14ac:dyDescent="0.35">
      <c r="A95" s="1">
        <v>45859</v>
      </c>
      <c r="B95" s="1" t="str">
        <f t="shared" si="4"/>
        <v>Monday</v>
      </c>
      <c r="C95" s="1" t="str">
        <f t="shared" si="5"/>
        <v>July</v>
      </c>
      <c r="D95" s="1" t="str">
        <f t="shared" si="6"/>
        <v>Q3</v>
      </c>
      <c r="E95" s="1" t="str">
        <f t="shared" si="7"/>
        <v>2025</v>
      </c>
      <c r="F95" t="s">
        <v>13</v>
      </c>
      <c r="G95" s="2">
        <v>2596.3000000000002</v>
      </c>
      <c r="H95" s="2">
        <v>2624.9</v>
      </c>
      <c r="I95" s="2">
        <v>2585</v>
      </c>
      <c r="J95" s="2">
        <v>2596.1</v>
      </c>
      <c r="K95" s="2">
        <v>2615.6999999999998</v>
      </c>
      <c r="L95" s="2">
        <v>2619.5</v>
      </c>
      <c r="M95" s="2">
        <v>2612.2199999999998</v>
      </c>
      <c r="N95" s="2">
        <v>3258</v>
      </c>
      <c r="O95" s="2">
        <v>2025</v>
      </c>
      <c r="P95">
        <v>369782</v>
      </c>
      <c r="Q95">
        <v>28077</v>
      </c>
    </row>
    <row r="96" spans="1:17" x14ac:dyDescent="0.35">
      <c r="A96" s="1">
        <v>45856</v>
      </c>
      <c r="B96" s="1" t="str">
        <f t="shared" si="4"/>
        <v>Friday</v>
      </c>
      <c r="C96" s="1" t="str">
        <f t="shared" si="5"/>
        <v>July</v>
      </c>
      <c r="D96" s="1" t="str">
        <f t="shared" si="6"/>
        <v>Q3</v>
      </c>
      <c r="E96" s="1" t="str">
        <f t="shared" si="7"/>
        <v>2025</v>
      </c>
      <c r="F96" t="s">
        <v>13</v>
      </c>
      <c r="G96" s="2">
        <v>2612</v>
      </c>
      <c r="H96" s="2">
        <v>2626.7</v>
      </c>
      <c r="I96" s="2">
        <v>2584.1999999999998</v>
      </c>
      <c r="J96" s="2">
        <v>2616.6</v>
      </c>
      <c r="K96" s="2">
        <v>2594.1999999999998</v>
      </c>
      <c r="L96" s="2">
        <v>2596.1</v>
      </c>
      <c r="M96" s="2">
        <v>2599.8000000000002</v>
      </c>
      <c r="N96" s="2">
        <v>3258</v>
      </c>
      <c r="O96" s="2">
        <v>2025</v>
      </c>
      <c r="P96">
        <v>479942</v>
      </c>
      <c r="Q96">
        <v>32389</v>
      </c>
    </row>
    <row r="97" spans="1:17" x14ac:dyDescent="0.35">
      <c r="A97" s="1">
        <v>45855</v>
      </c>
      <c r="B97" s="1" t="str">
        <f t="shared" si="4"/>
        <v>Thursday</v>
      </c>
      <c r="C97" s="1" t="str">
        <f t="shared" si="5"/>
        <v>July</v>
      </c>
      <c r="D97" s="1" t="str">
        <f t="shared" si="6"/>
        <v>Q3</v>
      </c>
      <c r="E97" s="1" t="str">
        <f t="shared" si="7"/>
        <v>2025</v>
      </c>
      <c r="F97" t="s">
        <v>13</v>
      </c>
      <c r="G97" s="2">
        <v>2612</v>
      </c>
      <c r="H97" s="2">
        <v>2654.5</v>
      </c>
      <c r="I97" s="2">
        <v>2605.3000000000002</v>
      </c>
      <c r="J97" s="2">
        <v>2608.5</v>
      </c>
      <c r="K97" s="2">
        <v>2614.9</v>
      </c>
      <c r="L97" s="2">
        <v>2616.6</v>
      </c>
      <c r="M97" s="2">
        <v>2628.55</v>
      </c>
      <c r="N97" s="2">
        <v>3258</v>
      </c>
      <c r="O97" s="2">
        <v>2025</v>
      </c>
      <c r="P97">
        <v>785771</v>
      </c>
      <c r="Q97">
        <v>43962</v>
      </c>
    </row>
    <row r="98" spans="1:17" x14ac:dyDescent="0.35">
      <c r="A98" s="1">
        <v>45854</v>
      </c>
      <c r="B98" s="1" t="str">
        <f t="shared" si="4"/>
        <v>Wednesday</v>
      </c>
      <c r="C98" s="1" t="str">
        <f t="shared" si="5"/>
        <v>July</v>
      </c>
      <c r="D98" s="1" t="str">
        <f t="shared" si="6"/>
        <v>Q3</v>
      </c>
      <c r="E98" s="1" t="str">
        <f t="shared" si="7"/>
        <v>2025</v>
      </c>
      <c r="F98" t="s">
        <v>13</v>
      </c>
      <c r="G98" s="2">
        <v>2602.5</v>
      </c>
      <c r="H98" s="2">
        <v>2619.5</v>
      </c>
      <c r="I98" s="2">
        <v>2595.5</v>
      </c>
      <c r="J98" s="2">
        <v>2598.1999999999998</v>
      </c>
      <c r="K98" s="2">
        <v>2608.1999999999998</v>
      </c>
      <c r="L98" s="2">
        <v>2608.5</v>
      </c>
      <c r="M98" s="2">
        <v>2610.5500000000002</v>
      </c>
      <c r="N98" s="2">
        <v>3258</v>
      </c>
      <c r="O98" s="2">
        <v>2025</v>
      </c>
      <c r="P98">
        <v>686644</v>
      </c>
      <c r="Q98">
        <v>37057</v>
      </c>
    </row>
    <row r="99" spans="1:17" x14ac:dyDescent="0.35">
      <c r="A99" s="1">
        <v>45853</v>
      </c>
      <c r="B99" s="1" t="str">
        <f t="shared" si="4"/>
        <v>Tuesday</v>
      </c>
      <c r="C99" s="1" t="str">
        <f t="shared" si="5"/>
        <v>July</v>
      </c>
      <c r="D99" s="1" t="str">
        <f t="shared" si="6"/>
        <v>Q3</v>
      </c>
      <c r="E99" s="1" t="str">
        <f t="shared" si="7"/>
        <v>2025</v>
      </c>
      <c r="F99" t="s">
        <v>13</v>
      </c>
      <c r="G99" s="2">
        <v>2588</v>
      </c>
      <c r="H99" s="2">
        <v>2606.9</v>
      </c>
      <c r="I99" s="2">
        <v>2576</v>
      </c>
      <c r="J99" s="2">
        <v>2581.3000000000002</v>
      </c>
      <c r="K99" s="2">
        <v>2603.1</v>
      </c>
      <c r="L99" s="2">
        <v>2598.1999999999998</v>
      </c>
      <c r="M99" s="2">
        <v>2593.15</v>
      </c>
      <c r="N99" s="2">
        <v>3258</v>
      </c>
      <c r="O99" s="2">
        <v>2025</v>
      </c>
      <c r="P99">
        <v>379425</v>
      </c>
      <c r="Q99">
        <v>24377</v>
      </c>
    </row>
    <row r="100" spans="1:17" x14ac:dyDescent="0.35">
      <c r="A100" s="1">
        <v>45852</v>
      </c>
      <c r="B100" s="1" t="str">
        <f t="shared" si="4"/>
        <v>Monday</v>
      </c>
      <c r="C100" s="1" t="str">
        <f t="shared" si="5"/>
        <v>July</v>
      </c>
      <c r="D100" s="1" t="str">
        <f t="shared" si="6"/>
        <v>Q3</v>
      </c>
      <c r="E100" s="1" t="str">
        <f t="shared" si="7"/>
        <v>2025</v>
      </c>
      <c r="F100" t="s">
        <v>13</v>
      </c>
      <c r="G100" s="2">
        <v>2555</v>
      </c>
      <c r="H100" s="2">
        <v>2604.8000000000002</v>
      </c>
      <c r="I100" s="2">
        <v>2543.5</v>
      </c>
      <c r="J100" s="2">
        <v>2558.6999999999998</v>
      </c>
      <c r="K100" s="2">
        <v>2578</v>
      </c>
      <c r="L100" s="2">
        <v>2581.3000000000002</v>
      </c>
      <c r="M100" s="2">
        <v>2576.63</v>
      </c>
      <c r="N100" s="2">
        <v>3258</v>
      </c>
      <c r="O100" s="2">
        <v>2025</v>
      </c>
      <c r="P100">
        <v>536585</v>
      </c>
      <c r="Q100">
        <v>34764</v>
      </c>
    </row>
    <row r="101" spans="1:17" x14ac:dyDescent="0.35">
      <c r="A101" s="1">
        <v>45849</v>
      </c>
      <c r="B101" s="1" t="str">
        <f t="shared" si="4"/>
        <v>Friday</v>
      </c>
      <c r="C101" s="1" t="str">
        <f t="shared" si="5"/>
        <v>July</v>
      </c>
      <c r="D101" s="1" t="str">
        <f t="shared" si="6"/>
        <v>Q3</v>
      </c>
      <c r="E101" s="1" t="str">
        <f t="shared" si="7"/>
        <v>2025</v>
      </c>
      <c r="F101" t="s">
        <v>13</v>
      </c>
      <c r="G101" s="2">
        <v>2575</v>
      </c>
      <c r="H101" s="2">
        <v>2591.9</v>
      </c>
      <c r="I101" s="2">
        <v>2551.9</v>
      </c>
      <c r="J101" s="2">
        <v>2581</v>
      </c>
      <c r="K101" s="2">
        <v>2562.9</v>
      </c>
      <c r="L101" s="2">
        <v>2558.6999999999998</v>
      </c>
      <c r="M101" s="2">
        <v>2567.75</v>
      </c>
      <c r="N101" s="2">
        <v>3258</v>
      </c>
      <c r="O101" s="2">
        <v>2025</v>
      </c>
      <c r="P101">
        <v>390645</v>
      </c>
      <c r="Q101">
        <v>26150</v>
      </c>
    </row>
    <row r="102" spans="1:17" x14ac:dyDescent="0.35">
      <c r="A102" s="1">
        <v>45848</v>
      </c>
      <c r="B102" s="1" t="str">
        <f t="shared" si="4"/>
        <v>Thursday</v>
      </c>
      <c r="C102" s="1" t="str">
        <f t="shared" si="5"/>
        <v>July</v>
      </c>
      <c r="D102" s="1" t="str">
        <f t="shared" si="6"/>
        <v>Q3</v>
      </c>
      <c r="E102" s="1" t="str">
        <f t="shared" si="7"/>
        <v>2025</v>
      </c>
      <c r="F102" t="s">
        <v>13</v>
      </c>
      <c r="G102" s="2">
        <v>2591</v>
      </c>
      <c r="H102" s="2">
        <v>2604</v>
      </c>
      <c r="I102" s="2">
        <v>2575</v>
      </c>
      <c r="J102" s="2">
        <v>2583</v>
      </c>
      <c r="K102" s="2">
        <v>2581</v>
      </c>
      <c r="L102" s="2">
        <v>2581</v>
      </c>
      <c r="M102" s="2">
        <v>2586</v>
      </c>
      <c r="N102" s="2">
        <v>3258</v>
      </c>
      <c r="O102" s="2">
        <v>2025</v>
      </c>
      <c r="P102">
        <v>306565</v>
      </c>
      <c r="Q102">
        <v>24631</v>
      </c>
    </row>
    <row r="103" spans="1:17" x14ac:dyDescent="0.35">
      <c r="A103" s="1">
        <v>45847</v>
      </c>
      <c r="B103" s="1" t="str">
        <f t="shared" si="4"/>
        <v>Wednesday</v>
      </c>
      <c r="C103" s="1" t="str">
        <f t="shared" si="5"/>
        <v>July</v>
      </c>
      <c r="D103" s="1" t="str">
        <f t="shared" si="6"/>
        <v>Q3</v>
      </c>
      <c r="E103" s="1" t="str">
        <f t="shared" si="7"/>
        <v>2025</v>
      </c>
      <c r="F103" t="s">
        <v>13</v>
      </c>
      <c r="G103" s="2">
        <v>2599</v>
      </c>
      <c r="H103" s="2">
        <v>2609.9</v>
      </c>
      <c r="I103" s="2">
        <v>2570</v>
      </c>
      <c r="J103" s="2">
        <v>2591.3000000000002</v>
      </c>
      <c r="K103" s="2">
        <v>2582.3000000000002</v>
      </c>
      <c r="L103" s="2">
        <v>2583</v>
      </c>
      <c r="M103" s="2">
        <v>2588.4699999999998</v>
      </c>
      <c r="N103" s="2">
        <v>3258</v>
      </c>
      <c r="O103" s="2">
        <v>2025</v>
      </c>
      <c r="P103">
        <v>396880</v>
      </c>
      <c r="Q103">
        <v>25511</v>
      </c>
    </row>
    <row r="104" spans="1:17" x14ac:dyDescent="0.35">
      <c r="A104" s="1">
        <v>45846</v>
      </c>
      <c r="B104" s="1" t="str">
        <f t="shared" si="4"/>
        <v>Tuesday</v>
      </c>
      <c r="C104" s="1" t="str">
        <f t="shared" si="5"/>
        <v>July</v>
      </c>
      <c r="D104" s="1" t="str">
        <f t="shared" si="6"/>
        <v>Q3</v>
      </c>
      <c r="E104" s="1" t="str">
        <f t="shared" si="7"/>
        <v>2025</v>
      </c>
      <c r="F104" t="s">
        <v>13</v>
      </c>
      <c r="G104" s="2">
        <v>2586</v>
      </c>
      <c r="H104" s="2">
        <v>2600</v>
      </c>
      <c r="I104" s="2">
        <v>2573</v>
      </c>
      <c r="J104" s="2">
        <v>2576.1</v>
      </c>
      <c r="K104" s="2">
        <v>2588</v>
      </c>
      <c r="L104" s="2">
        <v>2591.3000000000002</v>
      </c>
      <c r="M104" s="2">
        <v>2585.46</v>
      </c>
      <c r="N104" s="2">
        <v>3258</v>
      </c>
      <c r="O104" s="2">
        <v>2025</v>
      </c>
      <c r="P104">
        <v>357701</v>
      </c>
      <c r="Q104">
        <v>24369</v>
      </c>
    </row>
    <row r="105" spans="1:17" x14ac:dyDescent="0.35">
      <c r="A105" s="1">
        <v>45845</v>
      </c>
      <c r="B105" s="1" t="str">
        <f t="shared" si="4"/>
        <v>Monday</v>
      </c>
      <c r="C105" s="1" t="str">
        <f t="shared" si="5"/>
        <v>July</v>
      </c>
      <c r="D105" s="1" t="str">
        <f t="shared" si="6"/>
        <v>Q3</v>
      </c>
      <c r="E105" s="1" t="str">
        <f t="shared" si="7"/>
        <v>2025</v>
      </c>
      <c r="F105" t="s">
        <v>13</v>
      </c>
      <c r="G105" s="2">
        <v>2602</v>
      </c>
      <c r="H105" s="2">
        <v>2605.4</v>
      </c>
      <c r="I105" s="2">
        <v>2572</v>
      </c>
      <c r="J105" s="2">
        <v>2599.1</v>
      </c>
      <c r="K105" s="2">
        <v>2587.6</v>
      </c>
      <c r="L105" s="2">
        <v>2576.1</v>
      </c>
      <c r="M105" s="2">
        <v>2582.98</v>
      </c>
      <c r="N105" s="2">
        <v>3258</v>
      </c>
      <c r="O105" s="2">
        <v>2025</v>
      </c>
      <c r="P105">
        <v>412159</v>
      </c>
      <c r="Q105">
        <v>30384</v>
      </c>
    </row>
    <row r="106" spans="1:17" x14ac:dyDescent="0.35">
      <c r="A106" s="1">
        <v>45842</v>
      </c>
      <c r="B106" s="1" t="str">
        <f t="shared" si="4"/>
        <v>Friday</v>
      </c>
      <c r="C106" s="1" t="str">
        <f t="shared" si="5"/>
        <v>July</v>
      </c>
      <c r="D106" s="1" t="str">
        <f t="shared" si="6"/>
        <v>Q3</v>
      </c>
      <c r="E106" s="1" t="str">
        <f t="shared" si="7"/>
        <v>2025</v>
      </c>
      <c r="F106" t="s">
        <v>13</v>
      </c>
      <c r="G106" s="2">
        <v>2617</v>
      </c>
      <c r="H106" s="2">
        <v>2617</v>
      </c>
      <c r="I106" s="2">
        <v>2582.1999999999998</v>
      </c>
      <c r="J106" s="2">
        <v>2611.1999999999998</v>
      </c>
      <c r="K106" s="2">
        <v>2599</v>
      </c>
      <c r="L106" s="2">
        <v>2599.1</v>
      </c>
      <c r="M106" s="2">
        <v>2599.15</v>
      </c>
      <c r="N106" s="2">
        <v>3258</v>
      </c>
      <c r="O106" s="2">
        <v>2025</v>
      </c>
      <c r="P106">
        <v>370305</v>
      </c>
      <c r="Q106">
        <v>25138</v>
      </c>
    </row>
    <row r="107" spans="1:17" x14ac:dyDescent="0.35">
      <c r="A107" s="1">
        <v>45841</v>
      </c>
      <c r="B107" s="1" t="str">
        <f t="shared" si="4"/>
        <v>Thursday</v>
      </c>
      <c r="C107" s="1" t="str">
        <f t="shared" si="5"/>
        <v>July</v>
      </c>
      <c r="D107" s="1" t="str">
        <f t="shared" si="6"/>
        <v>Q3</v>
      </c>
      <c r="E107" s="1" t="str">
        <f t="shared" si="7"/>
        <v>2025</v>
      </c>
      <c r="F107" t="s">
        <v>13</v>
      </c>
      <c r="G107" s="2">
        <v>2634</v>
      </c>
      <c r="H107" s="2">
        <v>2644</v>
      </c>
      <c r="I107" s="2">
        <v>2605.1</v>
      </c>
      <c r="J107" s="2">
        <v>2630.2</v>
      </c>
      <c r="K107" s="2">
        <v>2608</v>
      </c>
      <c r="L107" s="2">
        <v>2611.1999999999998</v>
      </c>
      <c r="M107" s="2">
        <v>2618.1</v>
      </c>
      <c r="N107" s="2">
        <v>3258</v>
      </c>
      <c r="O107" s="2">
        <v>2025</v>
      </c>
      <c r="P107">
        <v>502724</v>
      </c>
      <c r="Q107">
        <v>29883</v>
      </c>
    </row>
    <row r="108" spans="1:17" x14ac:dyDescent="0.35">
      <c r="A108" s="1">
        <v>45840</v>
      </c>
      <c r="B108" s="1" t="str">
        <f t="shared" si="4"/>
        <v>Wednesday</v>
      </c>
      <c r="C108" s="1" t="str">
        <f t="shared" si="5"/>
        <v>July</v>
      </c>
      <c r="D108" s="1" t="str">
        <f t="shared" si="6"/>
        <v>Q3</v>
      </c>
      <c r="E108" s="1" t="str">
        <f t="shared" si="7"/>
        <v>2025</v>
      </c>
      <c r="F108" t="s">
        <v>13</v>
      </c>
      <c r="G108" s="2">
        <v>2634</v>
      </c>
      <c r="H108" s="2">
        <v>2646</v>
      </c>
      <c r="I108" s="2">
        <v>2613.6</v>
      </c>
      <c r="J108" s="2">
        <v>2621.8</v>
      </c>
      <c r="K108" s="2">
        <v>2629</v>
      </c>
      <c r="L108" s="2">
        <v>2630.2</v>
      </c>
      <c r="M108" s="2">
        <v>2630.67</v>
      </c>
      <c r="N108" s="2">
        <v>3258</v>
      </c>
      <c r="O108" s="2">
        <v>2025</v>
      </c>
      <c r="P108">
        <v>621409</v>
      </c>
      <c r="Q108">
        <v>34383</v>
      </c>
    </row>
    <row r="109" spans="1:17" x14ac:dyDescent="0.35">
      <c r="A109" s="1">
        <v>45839</v>
      </c>
      <c r="B109" s="1" t="str">
        <f t="shared" si="4"/>
        <v>Tuesday</v>
      </c>
      <c r="C109" s="1" t="str">
        <f t="shared" si="5"/>
        <v>July</v>
      </c>
      <c r="D109" s="1" t="str">
        <f t="shared" si="6"/>
        <v>Q3</v>
      </c>
      <c r="E109" s="1" t="str">
        <f t="shared" si="7"/>
        <v>2025</v>
      </c>
      <c r="F109" t="s">
        <v>13</v>
      </c>
      <c r="G109" s="2">
        <v>2624.9</v>
      </c>
      <c r="H109" s="2">
        <v>2645</v>
      </c>
      <c r="I109" s="2">
        <v>2603</v>
      </c>
      <c r="J109" s="2">
        <v>2619.4</v>
      </c>
      <c r="K109" s="2">
        <v>2626</v>
      </c>
      <c r="L109" s="2">
        <v>2621.8</v>
      </c>
      <c r="M109" s="2">
        <v>2625.01</v>
      </c>
      <c r="N109" s="2">
        <v>3258</v>
      </c>
      <c r="O109" s="2">
        <v>2025</v>
      </c>
      <c r="P109">
        <v>729197</v>
      </c>
      <c r="Q109">
        <v>37539</v>
      </c>
    </row>
    <row r="110" spans="1:17" x14ac:dyDescent="0.35">
      <c r="A110" s="1">
        <v>45838</v>
      </c>
      <c r="B110" s="1" t="str">
        <f t="shared" si="4"/>
        <v>Monday</v>
      </c>
      <c r="C110" s="1" t="str">
        <f t="shared" si="5"/>
        <v>June</v>
      </c>
      <c r="D110" s="1" t="str">
        <f t="shared" si="6"/>
        <v>Q2</v>
      </c>
      <c r="E110" s="1" t="str">
        <f t="shared" si="7"/>
        <v>2025</v>
      </c>
      <c r="F110" t="s">
        <v>13</v>
      </c>
      <c r="G110" s="2">
        <v>2650</v>
      </c>
      <c r="H110" s="2">
        <v>2653.9</v>
      </c>
      <c r="I110" s="2">
        <v>2605.9</v>
      </c>
      <c r="J110" s="2">
        <v>2646.3</v>
      </c>
      <c r="K110" s="2">
        <v>2624.8</v>
      </c>
      <c r="L110" s="2">
        <v>2619.4</v>
      </c>
      <c r="M110" s="2">
        <v>2623.16</v>
      </c>
      <c r="N110" s="2">
        <v>3258</v>
      </c>
      <c r="O110" s="2">
        <v>2025</v>
      </c>
      <c r="P110">
        <v>694815</v>
      </c>
      <c r="Q110">
        <v>51699</v>
      </c>
    </row>
    <row r="111" spans="1:17" x14ac:dyDescent="0.35">
      <c r="A111" s="1">
        <v>45835</v>
      </c>
      <c r="B111" s="1" t="str">
        <f t="shared" si="4"/>
        <v>Friday</v>
      </c>
      <c r="C111" s="1" t="str">
        <f t="shared" si="5"/>
        <v>June</v>
      </c>
      <c r="D111" s="1" t="str">
        <f t="shared" si="6"/>
        <v>Q2</v>
      </c>
      <c r="E111" s="1" t="str">
        <f t="shared" si="7"/>
        <v>2025</v>
      </c>
      <c r="F111" t="s">
        <v>13</v>
      </c>
      <c r="G111" s="2">
        <v>2587.6999999999998</v>
      </c>
      <c r="H111" s="2">
        <v>2681.6</v>
      </c>
      <c r="I111" s="2">
        <v>2582</v>
      </c>
      <c r="J111" s="2">
        <v>2586.1999999999998</v>
      </c>
      <c r="K111" s="2">
        <v>2644.8</v>
      </c>
      <c r="L111" s="2">
        <v>2646.3</v>
      </c>
      <c r="M111" s="2">
        <v>2642.47</v>
      </c>
      <c r="N111" s="2">
        <v>3258</v>
      </c>
      <c r="O111" s="2">
        <v>2025</v>
      </c>
      <c r="P111">
        <v>4049316</v>
      </c>
      <c r="Q111">
        <v>121691</v>
      </c>
    </row>
    <row r="112" spans="1:17" x14ac:dyDescent="0.35">
      <c r="A112" s="1">
        <v>45834</v>
      </c>
      <c r="B112" s="1" t="str">
        <f t="shared" si="4"/>
        <v>Thursday</v>
      </c>
      <c r="C112" s="1" t="str">
        <f t="shared" si="5"/>
        <v>June</v>
      </c>
      <c r="D112" s="1" t="str">
        <f t="shared" si="6"/>
        <v>Q2</v>
      </c>
      <c r="E112" s="1" t="str">
        <f t="shared" si="7"/>
        <v>2025</v>
      </c>
      <c r="F112" t="s">
        <v>13</v>
      </c>
      <c r="G112" s="2">
        <v>2535</v>
      </c>
      <c r="H112" s="2">
        <v>2593.6</v>
      </c>
      <c r="I112" s="2">
        <v>2522.1999999999998</v>
      </c>
      <c r="J112" s="2">
        <v>2527.1999999999998</v>
      </c>
      <c r="K112" s="2">
        <v>2580</v>
      </c>
      <c r="L112" s="2">
        <v>2586.1999999999998</v>
      </c>
      <c r="M112" s="2">
        <v>2559.96</v>
      </c>
      <c r="N112" s="2">
        <v>3258</v>
      </c>
      <c r="O112" s="2">
        <v>2025</v>
      </c>
      <c r="P112">
        <v>1339627</v>
      </c>
      <c r="Q112">
        <v>57666</v>
      </c>
    </row>
    <row r="113" spans="1:17" x14ac:dyDescent="0.35">
      <c r="A113" s="1">
        <v>45833</v>
      </c>
      <c r="B113" s="1" t="str">
        <f t="shared" si="4"/>
        <v>Wednesday</v>
      </c>
      <c r="C113" s="1" t="str">
        <f t="shared" si="5"/>
        <v>June</v>
      </c>
      <c r="D113" s="1" t="str">
        <f t="shared" si="6"/>
        <v>Q2</v>
      </c>
      <c r="E113" s="1" t="str">
        <f t="shared" si="7"/>
        <v>2025</v>
      </c>
      <c r="F113" t="s">
        <v>13</v>
      </c>
      <c r="G113" s="2">
        <v>2519.9</v>
      </c>
      <c r="H113" s="2">
        <v>2541.6</v>
      </c>
      <c r="I113" s="2">
        <v>2512.1</v>
      </c>
      <c r="J113" s="2">
        <v>2505.6</v>
      </c>
      <c r="K113" s="2">
        <v>2530</v>
      </c>
      <c r="L113" s="2">
        <v>2527.1999999999998</v>
      </c>
      <c r="M113" s="2">
        <v>2527.87</v>
      </c>
      <c r="N113" s="2">
        <v>3258</v>
      </c>
      <c r="O113" s="2">
        <v>2025</v>
      </c>
      <c r="P113">
        <v>921346</v>
      </c>
      <c r="Q113">
        <v>34059</v>
      </c>
    </row>
    <row r="114" spans="1:17" x14ac:dyDescent="0.35">
      <c r="A114" s="1">
        <v>45832</v>
      </c>
      <c r="B114" s="1" t="str">
        <f t="shared" si="4"/>
        <v>Tuesday</v>
      </c>
      <c r="C114" s="1" t="str">
        <f t="shared" si="5"/>
        <v>June</v>
      </c>
      <c r="D114" s="1" t="str">
        <f t="shared" si="6"/>
        <v>Q2</v>
      </c>
      <c r="E114" s="1" t="str">
        <f t="shared" si="7"/>
        <v>2025</v>
      </c>
      <c r="F114" t="s">
        <v>13</v>
      </c>
      <c r="G114" s="2">
        <v>2504</v>
      </c>
      <c r="H114" s="2">
        <v>2544.6</v>
      </c>
      <c r="I114" s="2">
        <v>2500.1999999999998</v>
      </c>
      <c r="J114" s="2">
        <v>2472</v>
      </c>
      <c r="K114" s="2">
        <v>2505</v>
      </c>
      <c r="L114" s="2">
        <v>2505.6</v>
      </c>
      <c r="M114" s="2">
        <v>2523.06</v>
      </c>
      <c r="N114" s="2">
        <v>3258</v>
      </c>
      <c r="O114" s="2">
        <v>2025</v>
      </c>
      <c r="P114">
        <v>996405</v>
      </c>
      <c r="Q114">
        <v>53316</v>
      </c>
    </row>
    <row r="115" spans="1:17" x14ac:dyDescent="0.35">
      <c r="A115" s="1">
        <v>45831</v>
      </c>
      <c r="B115" s="1" t="str">
        <f t="shared" si="4"/>
        <v>Monday</v>
      </c>
      <c r="C115" s="1" t="str">
        <f t="shared" si="5"/>
        <v>June</v>
      </c>
      <c r="D115" s="1" t="str">
        <f t="shared" si="6"/>
        <v>Q2</v>
      </c>
      <c r="E115" s="1" t="str">
        <f t="shared" si="7"/>
        <v>2025</v>
      </c>
      <c r="F115" t="s">
        <v>13</v>
      </c>
      <c r="G115" s="2">
        <v>2438</v>
      </c>
      <c r="H115" s="2">
        <v>2492.6</v>
      </c>
      <c r="I115" s="2">
        <v>2421</v>
      </c>
      <c r="J115" s="2">
        <v>2448.4</v>
      </c>
      <c r="K115" s="2">
        <v>2466</v>
      </c>
      <c r="L115" s="2">
        <v>2472</v>
      </c>
      <c r="M115" s="2">
        <v>2467.6999999999998</v>
      </c>
      <c r="N115" s="2">
        <v>3258</v>
      </c>
      <c r="O115" s="2">
        <v>2025</v>
      </c>
      <c r="P115">
        <v>790535</v>
      </c>
      <c r="Q115">
        <v>34421</v>
      </c>
    </row>
    <row r="116" spans="1:17" x14ac:dyDescent="0.35">
      <c r="A116" s="1">
        <v>45828</v>
      </c>
      <c r="B116" s="1" t="str">
        <f t="shared" si="4"/>
        <v>Friday</v>
      </c>
      <c r="C116" s="1" t="str">
        <f t="shared" si="5"/>
        <v>June</v>
      </c>
      <c r="D116" s="1" t="str">
        <f t="shared" si="6"/>
        <v>Q2</v>
      </c>
      <c r="E116" s="1" t="str">
        <f t="shared" si="7"/>
        <v>2025</v>
      </c>
      <c r="F116" t="s">
        <v>13</v>
      </c>
      <c r="G116" s="2">
        <v>2428</v>
      </c>
      <c r="H116" s="2">
        <v>2461.3000000000002</v>
      </c>
      <c r="I116" s="2">
        <v>2415</v>
      </c>
      <c r="J116" s="2">
        <v>2420.6</v>
      </c>
      <c r="K116" s="2">
        <v>2449.6</v>
      </c>
      <c r="L116" s="2">
        <v>2448.4</v>
      </c>
      <c r="M116" s="2">
        <v>2447.4899999999998</v>
      </c>
      <c r="N116" s="2">
        <v>3345</v>
      </c>
      <c r="O116" s="2">
        <v>2025</v>
      </c>
      <c r="P116">
        <v>3002549</v>
      </c>
      <c r="Q116">
        <v>67242</v>
      </c>
    </row>
    <row r="117" spans="1:17" x14ac:dyDescent="0.35">
      <c r="A117" s="1">
        <v>45827</v>
      </c>
      <c r="B117" s="1" t="str">
        <f t="shared" si="4"/>
        <v>Thursday</v>
      </c>
      <c r="C117" s="1" t="str">
        <f t="shared" si="5"/>
        <v>June</v>
      </c>
      <c r="D117" s="1" t="str">
        <f t="shared" si="6"/>
        <v>Q2</v>
      </c>
      <c r="E117" s="1" t="str">
        <f t="shared" si="7"/>
        <v>2025</v>
      </c>
      <c r="F117" t="s">
        <v>13</v>
      </c>
      <c r="G117" s="2">
        <v>2466.3000000000002</v>
      </c>
      <c r="H117" s="2">
        <v>2468.9</v>
      </c>
      <c r="I117" s="2">
        <v>2405.1</v>
      </c>
      <c r="J117" s="2">
        <v>2459.1</v>
      </c>
      <c r="K117" s="2">
        <v>2414</v>
      </c>
      <c r="L117" s="2">
        <v>2420.6</v>
      </c>
      <c r="M117" s="2">
        <v>2431.1799999999998</v>
      </c>
      <c r="N117" s="2">
        <v>3345</v>
      </c>
      <c r="O117" s="2">
        <v>2025</v>
      </c>
      <c r="P117">
        <v>688209</v>
      </c>
      <c r="Q117">
        <v>46707</v>
      </c>
    </row>
    <row r="118" spans="1:17" x14ac:dyDescent="0.35">
      <c r="A118" s="1">
        <v>45826</v>
      </c>
      <c r="B118" s="1" t="str">
        <f t="shared" si="4"/>
        <v>Wednesday</v>
      </c>
      <c r="C118" s="1" t="str">
        <f t="shared" si="5"/>
        <v>June</v>
      </c>
      <c r="D118" s="1" t="str">
        <f t="shared" si="6"/>
        <v>Q2</v>
      </c>
      <c r="E118" s="1" t="str">
        <f t="shared" si="7"/>
        <v>2025</v>
      </c>
      <c r="F118" t="s">
        <v>13</v>
      </c>
      <c r="G118" s="2">
        <v>2491.9</v>
      </c>
      <c r="H118" s="2">
        <v>2495.9</v>
      </c>
      <c r="I118" s="2">
        <v>2445.4</v>
      </c>
      <c r="J118" s="2">
        <v>2488.5</v>
      </c>
      <c r="K118" s="2">
        <v>2456.9</v>
      </c>
      <c r="L118" s="2">
        <v>2459.1</v>
      </c>
      <c r="M118" s="2">
        <v>2467.9</v>
      </c>
      <c r="N118" s="2">
        <v>3345</v>
      </c>
      <c r="O118" s="2">
        <v>2025</v>
      </c>
      <c r="P118">
        <v>667044</v>
      </c>
      <c r="Q118">
        <v>40514</v>
      </c>
    </row>
    <row r="119" spans="1:17" x14ac:dyDescent="0.35">
      <c r="A119" s="1">
        <v>45825</v>
      </c>
      <c r="B119" s="1" t="str">
        <f t="shared" si="4"/>
        <v>Tuesday</v>
      </c>
      <c r="C119" s="1" t="str">
        <f t="shared" si="5"/>
        <v>June</v>
      </c>
      <c r="D119" s="1" t="str">
        <f t="shared" si="6"/>
        <v>Q2</v>
      </c>
      <c r="E119" s="1" t="str">
        <f t="shared" si="7"/>
        <v>2025</v>
      </c>
      <c r="F119" t="s">
        <v>13</v>
      </c>
      <c r="G119" s="2">
        <v>2535</v>
      </c>
      <c r="H119" s="2">
        <v>2539.6</v>
      </c>
      <c r="I119" s="2">
        <v>2479</v>
      </c>
      <c r="J119" s="2">
        <v>2544</v>
      </c>
      <c r="K119" s="2">
        <v>2485.1999999999998</v>
      </c>
      <c r="L119" s="2">
        <v>2488.5</v>
      </c>
      <c r="M119" s="2">
        <v>2499.54</v>
      </c>
      <c r="N119" s="2">
        <v>3345</v>
      </c>
      <c r="O119" s="2">
        <v>2025</v>
      </c>
      <c r="P119">
        <v>703343</v>
      </c>
      <c r="Q119">
        <v>34502</v>
      </c>
    </row>
    <row r="120" spans="1:17" x14ac:dyDescent="0.35">
      <c r="A120" s="1">
        <v>45824</v>
      </c>
      <c r="B120" s="1" t="str">
        <f t="shared" si="4"/>
        <v>Monday</v>
      </c>
      <c r="C120" s="1" t="str">
        <f t="shared" si="5"/>
        <v>June</v>
      </c>
      <c r="D120" s="1" t="str">
        <f t="shared" si="6"/>
        <v>Q2</v>
      </c>
      <c r="E120" s="1" t="str">
        <f t="shared" si="7"/>
        <v>2025</v>
      </c>
      <c r="F120" t="s">
        <v>13</v>
      </c>
      <c r="G120" s="2">
        <v>2500</v>
      </c>
      <c r="H120" s="2">
        <v>2563.3000000000002</v>
      </c>
      <c r="I120" s="2">
        <v>2462</v>
      </c>
      <c r="J120" s="2">
        <v>2507.9</v>
      </c>
      <c r="K120" s="2">
        <v>2539.9</v>
      </c>
      <c r="L120" s="2">
        <v>2544</v>
      </c>
      <c r="M120" s="2">
        <v>2527.44</v>
      </c>
      <c r="N120" s="2">
        <v>3345</v>
      </c>
      <c r="O120" s="2">
        <v>2025</v>
      </c>
      <c r="P120">
        <v>956459</v>
      </c>
      <c r="Q120">
        <v>41826</v>
      </c>
    </row>
    <row r="121" spans="1:17" x14ac:dyDescent="0.35">
      <c r="A121" s="1">
        <v>45821</v>
      </c>
      <c r="B121" s="1" t="str">
        <f t="shared" si="4"/>
        <v>Friday</v>
      </c>
      <c r="C121" s="1" t="str">
        <f t="shared" si="5"/>
        <v>June</v>
      </c>
      <c r="D121" s="1" t="str">
        <f t="shared" si="6"/>
        <v>Q2</v>
      </c>
      <c r="E121" s="1" t="str">
        <f t="shared" si="7"/>
        <v>2025</v>
      </c>
      <c r="F121" t="s">
        <v>13</v>
      </c>
      <c r="G121" s="2">
        <v>2498</v>
      </c>
      <c r="H121" s="2">
        <v>2516</v>
      </c>
      <c r="I121" s="2">
        <v>2460</v>
      </c>
      <c r="J121" s="2">
        <v>2543.6999999999998</v>
      </c>
      <c r="K121" s="2">
        <v>2506</v>
      </c>
      <c r="L121" s="2">
        <v>2507.9</v>
      </c>
      <c r="M121" s="2">
        <v>2502.73</v>
      </c>
      <c r="N121" s="2">
        <v>3345</v>
      </c>
      <c r="O121" s="2">
        <v>2025</v>
      </c>
      <c r="P121">
        <v>695869</v>
      </c>
      <c r="Q121">
        <v>41308</v>
      </c>
    </row>
    <row r="122" spans="1:17" x14ac:dyDescent="0.35">
      <c r="A122" s="1">
        <v>45820</v>
      </c>
      <c r="B122" s="1" t="str">
        <f t="shared" si="4"/>
        <v>Thursday</v>
      </c>
      <c r="C122" s="1" t="str">
        <f t="shared" si="5"/>
        <v>June</v>
      </c>
      <c r="D122" s="1" t="str">
        <f t="shared" si="6"/>
        <v>Q2</v>
      </c>
      <c r="E122" s="1" t="str">
        <f t="shared" si="7"/>
        <v>2025</v>
      </c>
      <c r="F122" t="s">
        <v>13</v>
      </c>
      <c r="G122" s="2">
        <v>2591.5</v>
      </c>
      <c r="H122" s="2">
        <v>2601.8000000000002</v>
      </c>
      <c r="I122" s="2">
        <v>2530</v>
      </c>
      <c r="J122" s="2">
        <v>2581.1999999999998</v>
      </c>
      <c r="K122" s="2">
        <v>2536</v>
      </c>
      <c r="L122" s="2">
        <v>2543.6999999999998</v>
      </c>
      <c r="M122" s="2">
        <v>2561.98</v>
      </c>
      <c r="N122" s="2">
        <v>3345</v>
      </c>
      <c r="O122" s="2">
        <v>2025</v>
      </c>
      <c r="P122">
        <v>955097</v>
      </c>
      <c r="Q122">
        <v>57018</v>
      </c>
    </row>
    <row r="123" spans="1:17" x14ac:dyDescent="0.35">
      <c r="A123" s="1">
        <v>45819</v>
      </c>
      <c r="B123" s="1" t="str">
        <f t="shared" si="4"/>
        <v>Wednesday</v>
      </c>
      <c r="C123" s="1" t="str">
        <f t="shared" si="5"/>
        <v>June</v>
      </c>
      <c r="D123" s="1" t="str">
        <f t="shared" si="6"/>
        <v>Q2</v>
      </c>
      <c r="E123" s="1" t="str">
        <f t="shared" si="7"/>
        <v>2025</v>
      </c>
      <c r="F123" t="s">
        <v>13</v>
      </c>
      <c r="G123" s="2">
        <v>2630</v>
      </c>
      <c r="H123" s="2">
        <v>2630.9</v>
      </c>
      <c r="I123" s="2">
        <v>2563.1</v>
      </c>
      <c r="J123" s="2">
        <v>2613.1</v>
      </c>
      <c r="K123" s="2">
        <v>2584.1</v>
      </c>
      <c r="L123" s="2">
        <v>2581.1999999999998</v>
      </c>
      <c r="M123" s="2">
        <v>2596.52</v>
      </c>
      <c r="N123" s="2">
        <v>3345</v>
      </c>
      <c r="O123" s="2">
        <v>2025</v>
      </c>
      <c r="P123">
        <v>745432</v>
      </c>
      <c r="Q123">
        <v>37014</v>
      </c>
    </row>
    <row r="124" spans="1:17" x14ac:dyDescent="0.35">
      <c r="A124" s="1">
        <v>45818</v>
      </c>
      <c r="B124" s="1" t="str">
        <f t="shared" si="4"/>
        <v>Tuesday</v>
      </c>
      <c r="C124" s="1" t="str">
        <f t="shared" si="5"/>
        <v>June</v>
      </c>
      <c r="D124" s="1" t="str">
        <f t="shared" si="6"/>
        <v>Q2</v>
      </c>
      <c r="E124" s="1" t="str">
        <f t="shared" si="7"/>
        <v>2025</v>
      </c>
      <c r="F124" t="s">
        <v>13</v>
      </c>
      <c r="G124" s="2">
        <v>2600</v>
      </c>
      <c r="H124" s="2">
        <v>2663.2</v>
      </c>
      <c r="I124" s="2">
        <v>2577.6999999999998</v>
      </c>
      <c r="J124" s="2">
        <v>2582.1</v>
      </c>
      <c r="K124" s="2">
        <v>2618</v>
      </c>
      <c r="L124" s="2">
        <v>2613.1</v>
      </c>
      <c r="M124" s="2">
        <v>2626.35</v>
      </c>
      <c r="N124" s="2">
        <v>3345</v>
      </c>
      <c r="O124" s="2">
        <v>2025</v>
      </c>
      <c r="P124">
        <v>2084054</v>
      </c>
      <c r="Q124">
        <v>86665</v>
      </c>
    </row>
    <row r="125" spans="1:17" x14ac:dyDescent="0.35">
      <c r="A125" s="1">
        <v>45817</v>
      </c>
      <c r="B125" s="1" t="str">
        <f t="shared" si="4"/>
        <v>Monday</v>
      </c>
      <c r="C125" s="1" t="str">
        <f t="shared" si="5"/>
        <v>June</v>
      </c>
      <c r="D125" s="1" t="str">
        <f t="shared" si="6"/>
        <v>Q2</v>
      </c>
      <c r="E125" s="1" t="str">
        <f t="shared" si="7"/>
        <v>2025</v>
      </c>
      <c r="F125" t="s">
        <v>13</v>
      </c>
      <c r="G125" s="2">
        <v>2545</v>
      </c>
      <c r="H125" s="2">
        <v>2604.1</v>
      </c>
      <c r="I125" s="2">
        <v>2524.5</v>
      </c>
      <c r="J125" s="2">
        <v>2534.1999999999998</v>
      </c>
      <c r="K125" s="2">
        <v>2582</v>
      </c>
      <c r="L125" s="2">
        <v>2582.1</v>
      </c>
      <c r="M125" s="2">
        <v>2568.33</v>
      </c>
      <c r="N125" s="2">
        <v>3345</v>
      </c>
      <c r="O125" s="2">
        <v>2025</v>
      </c>
      <c r="P125">
        <v>1711167</v>
      </c>
      <c r="Q125">
        <v>56427</v>
      </c>
    </row>
    <row r="126" spans="1:17" x14ac:dyDescent="0.35">
      <c r="A126" s="1">
        <v>45814</v>
      </c>
      <c r="B126" s="1" t="str">
        <f t="shared" si="4"/>
        <v>Friday</v>
      </c>
      <c r="C126" s="1" t="str">
        <f t="shared" si="5"/>
        <v>June</v>
      </c>
      <c r="D126" s="1" t="str">
        <f t="shared" si="6"/>
        <v>Q2</v>
      </c>
      <c r="E126" s="1" t="str">
        <f t="shared" si="7"/>
        <v>2025</v>
      </c>
      <c r="F126" t="s">
        <v>13</v>
      </c>
      <c r="G126" s="2">
        <v>2514.9</v>
      </c>
      <c r="H126" s="2">
        <v>2553.3000000000002</v>
      </c>
      <c r="I126" s="2">
        <v>2504</v>
      </c>
      <c r="J126" s="2">
        <v>2504.4</v>
      </c>
      <c r="K126" s="2">
        <v>2535</v>
      </c>
      <c r="L126" s="2">
        <v>2534.1999999999998</v>
      </c>
      <c r="M126" s="2">
        <v>2534.9499999999998</v>
      </c>
      <c r="N126" s="2">
        <v>3743.9</v>
      </c>
      <c r="O126" s="2">
        <v>2025</v>
      </c>
      <c r="P126">
        <v>640680</v>
      </c>
      <c r="Q126">
        <v>53932</v>
      </c>
    </row>
    <row r="127" spans="1:17" x14ac:dyDescent="0.35">
      <c r="A127" s="1">
        <v>45813</v>
      </c>
      <c r="B127" s="1" t="str">
        <f t="shared" si="4"/>
        <v>Thursday</v>
      </c>
      <c r="C127" s="1" t="str">
        <f t="shared" si="5"/>
        <v>June</v>
      </c>
      <c r="D127" s="1" t="str">
        <f t="shared" si="6"/>
        <v>Q2</v>
      </c>
      <c r="E127" s="1" t="str">
        <f t="shared" si="7"/>
        <v>2025</v>
      </c>
      <c r="F127" t="s">
        <v>13</v>
      </c>
      <c r="G127" s="2">
        <v>2495</v>
      </c>
      <c r="H127" s="2">
        <v>2530.1</v>
      </c>
      <c r="I127" s="2">
        <v>2487.5</v>
      </c>
      <c r="J127" s="2">
        <v>2489.4</v>
      </c>
      <c r="K127" s="2">
        <v>2510</v>
      </c>
      <c r="L127" s="2">
        <v>2504.4</v>
      </c>
      <c r="M127" s="2">
        <v>2510.52</v>
      </c>
      <c r="N127" s="2">
        <v>3743.9</v>
      </c>
      <c r="O127" s="2">
        <v>2025</v>
      </c>
      <c r="P127">
        <v>673209</v>
      </c>
      <c r="Q127">
        <v>38579</v>
      </c>
    </row>
    <row r="128" spans="1:17" x14ac:dyDescent="0.35">
      <c r="A128" s="1">
        <v>45812</v>
      </c>
      <c r="B128" s="1" t="str">
        <f t="shared" si="4"/>
        <v>Wednesday</v>
      </c>
      <c r="C128" s="1" t="str">
        <f t="shared" si="5"/>
        <v>June</v>
      </c>
      <c r="D128" s="1" t="str">
        <f t="shared" si="6"/>
        <v>Q2</v>
      </c>
      <c r="E128" s="1" t="str">
        <f t="shared" si="7"/>
        <v>2025</v>
      </c>
      <c r="F128" t="s">
        <v>13</v>
      </c>
      <c r="G128" s="2">
        <v>2480</v>
      </c>
      <c r="H128" s="2">
        <v>2503</v>
      </c>
      <c r="I128" s="2">
        <v>2441.1</v>
      </c>
      <c r="J128" s="2">
        <v>2470.9</v>
      </c>
      <c r="K128" s="2">
        <v>2487</v>
      </c>
      <c r="L128" s="2">
        <v>2489.4</v>
      </c>
      <c r="M128" s="2">
        <v>2475.85</v>
      </c>
      <c r="N128" s="2">
        <v>3743.9</v>
      </c>
      <c r="O128" s="2">
        <v>2025</v>
      </c>
      <c r="P128">
        <v>552667</v>
      </c>
      <c r="Q128">
        <v>34151</v>
      </c>
    </row>
    <row r="129" spans="1:17" x14ac:dyDescent="0.35">
      <c r="A129" s="1">
        <v>45811</v>
      </c>
      <c r="B129" s="1" t="str">
        <f t="shared" si="4"/>
        <v>Tuesday</v>
      </c>
      <c r="C129" s="1" t="str">
        <f t="shared" si="5"/>
        <v>June</v>
      </c>
      <c r="D129" s="1" t="str">
        <f t="shared" si="6"/>
        <v>Q2</v>
      </c>
      <c r="E129" s="1" t="str">
        <f t="shared" si="7"/>
        <v>2025</v>
      </c>
      <c r="F129" t="s">
        <v>13</v>
      </c>
      <c r="G129" s="2">
        <v>2511</v>
      </c>
      <c r="H129" s="2">
        <v>2512.5</v>
      </c>
      <c r="I129" s="2">
        <v>2452</v>
      </c>
      <c r="J129" s="2">
        <v>2518.8000000000002</v>
      </c>
      <c r="K129" s="2">
        <v>2471.1</v>
      </c>
      <c r="L129" s="2">
        <v>2470.9</v>
      </c>
      <c r="M129" s="2">
        <v>2480.64</v>
      </c>
      <c r="N129" s="2">
        <v>3743.9</v>
      </c>
      <c r="O129" s="2">
        <v>2025</v>
      </c>
      <c r="P129">
        <v>962708</v>
      </c>
      <c r="Q129">
        <v>48961</v>
      </c>
    </row>
    <row r="130" spans="1:17" x14ac:dyDescent="0.35">
      <c r="A130" s="1">
        <v>45810</v>
      </c>
      <c r="B130" s="1" t="str">
        <f t="shared" si="4"/>
        <v>Monday</v>
      </c>
      <c r="C130" s="1" t="str">
        <f t="shared" si="5"/>
        <v>June</v>
      </c>
      <c r="D130" s="1" t="str">
        <f t="shared" si="6"/>
        <v>Q2</v>
      </c>
      <c r="E130" s="1" t="str">
        <f t="shared" si="7"/>
        <v>2025</v>
      </c>
      <c r="F130" t="s">
        <v>13</v>
      </c>
      <c r="G130" s="2">
        <v>2527</v>
      </c>
      <c r="H130" s="2">
        <v>2564</v>
      </c>
      <c r="I130" s="2">
        <v>2514.9</v>
      </c>
      <c r="J130" s="2">
        <v>2519.9</v>
      </c>
      <c r="K130" s="2">
        <v>2524.6999999999998</v>
      </c>
      <c r="L130" s="2">
        <v>2518.8000000000002</v>
      </c>
      <c r="M130" s="2">
        <v>2534.89</v>
      </c>
      <c r="N130" s="2">
        <v>3743.9</v>
      </c>
      <c r="O130" s="2">
        <v>2025</v>
      </c>
      <c r="P130">
        <v>1008716</v>
      </c>
      <c r="Q130">
        <v>49113</v>
      </c>
    </row>
    <row r="131" spans="1:17" x14ac:dyDescent="0.35">
      <c r="A131" s="1">
        <v>45807</v>
      </c>
      <c r="B131" s="1" t="str">
        <f t="shared" ref="B131:B194" si="8">TEXT(A131,"DDDD")</f>
        <v>Friday</v>
      </c>
      <c r="C131" s="1" t="str">
        <f t="shared" ref="C131:C194" si="9">TEXT(A131,"MMMM")</f>
        <v>May</v>
      </c>
      <c r="D131" s="1" t="str">
        <f t="shared" ref="D131:D194" si="10">"Q"&amp;ROUNDUP(MONTH(A131)/3,0)</f>
        <v>Q2</v>
      </c>
      <c r="E131" s="1" t="str">
        <f t="shared" ref="E131:E194" si="11">TEXT(A131,"YYYY")</f>
        <v>2025</v>
      </c>
      <c r="F131" t="s">
        <v>13</v>
      </c>
      <c r="G131" s="2">
        <v>2550</v>
      </c>
      <c r="H131" s="2">
        <v>2564</v>
      </c>
      <c r="I131" s="2">
        <v>2513.8000000000002</v>
      </c>
      <c r="J131" s="2">
        <v>2540.8000000000002</v>
      </c>
      <c r="K131" s="2">
        <v>2518</v>
      </c>
      <c r="L131" s="2">
        <v>2519.9</v>
      </c>
      <c r="M131" s="2">
        <v>2530.54</v>
      </c>
      <c r="N131" s="2">
        <v>3743.9</v>
      </c>
      <c r="O131" s="2">
        <v>2025</v>
      </c>
      <c r="P131">
        <v>684592</v>
      </c>
      <c r="Q131">
        <v>37146</v>
      </c>
    </row>
    <row r="132" spans="1:17" x14ac:dyDescent="0.35">
      <c r="A132" s="1">
        <v>45806</v>
      </c>
      <c r="B132" s="1" t="str">
        <f t="shared" si="8"/>
        <v>Thursday</v>
      </c>
      <c r="C132" s="1" t="str">
        <f t="shared" si="9"/>
        <v>May</v>
      </c>
      <c r="D132" s="1" t="str">
        <f t="shared" si="10"/>
        <v>Q2</v>
      </c>
      <c r="E132" s="1" t="str">
        <f t="shared" si="11"/>
        <v>2025</v>
      </c>
      <c r="F132" t="s">
        <v>13</v>
      </c>
      <c r="G132" s="2">
        <v>2536.6999999999998</v>
      </c>
      <c r="H132" s="2">
        <v>2559</v>
      </c>
      <c r="I132" s="2">
        <v>2511</v>
      </c>
      <c r="J132" s="2">
        <v>2515</v>
      </c>
      <c r="K132" s="2">
        <v>2543</v>
      </c>
      <c r="L132" s="2">
        <v>2540.8000000000002</v>
      </c>
      <c r="M132" s="2">
        <v>2535.48</v>
      </c>
      <c r="N132" s="2">
        <v>3743.9</v>
      </c>
      <c r="O132" s="2">
        <v>2025</v>
      </c>
      <c r="P132">
        <v>802317</v>
      </c>
      <c r="Q132">
        <v>41626</v>
      </c>
    </row>
    <row r="133" spans="1:17" x14ac:dyDescent="0.35">
      <c r="A133" s="1">
        <v>45805</v>
      </c>
      <c r="B133" s="1" t="str">
        <f t="shared" si="8"/>
        <v>Wednesday</v>
      </c>
      <c r="C133" s="1" t="str">
        <f t="shared" si="9"/>
        <v>May</v>
      </c>
      <c r="D133" s="1" t="str">
        <f t="shared" si="10"/>
        <v>Q2</v>
      </c>
      <c r="E133" s="1" t="str">
        <f t="shared" si="11"/>
        <v>2025</v>
      </c>
      <c r="F133" t="s">
        <v>13</v>
      </c>
      <c r="G133" s="2">
        <v>2559</v>
      </c>
      <c r="H133" s="2">
        <v>2559</v>
      </c>
      <c r="I133" s="2">
        <v>2510</v>
      </c>
      <c r="J133" s="2">
        <v>2540.3000000000002</v>
      </c>
      <c r="K133" s="2">
        <v>2517.5</v>
      </c>
      <c r="L133" s="2">
        <v>2515</v>
      </c>
      <c r="M133" s="2">
        <v>2529.94</v>
      </c>
      <c r="N133" s="2">
        <v>3743.9</v>
      </c>
      <c r="O133" s="2">
        <v>2025</v>
      </c>
      <c r="P133">
        <v>575989</v>
      </c>
      <c r="Q133">
        <v>26261</v>
      </c>
    </row>
    <row r="134" spans="1:17" x14ac:dyDescent="0.35">
      <c r="A134" s="1">
        <v>45804</v>
      </c>
      <c r="B134" s="1" t="str">
        <f t="shared" si="8"/>
        <v>Tuesday</v>
      </c>
      <c r="C134" s="1" t="str">
        <f t="shared" si="9"/>
        <v>May</v>
      </c>
      <c r="D134" s="1" t="str">
        <f t="shared" si="10"/>
        <v>Q2</v>
      </c>
      <c r="E134" s="1" t="str">
        <f t="shared" si="11"/>
        <v>2025</v>
      </c>
      <c r="F134" t="s">
        <v>13</v>
      </c>
      <c r="G134" s="2">
        <v>2545.9</v>
      </c>
      <c r="H134" s="2">
        <v>2569.1</v>
      </c>
      <c r="I134" s="2">
        <v>2526.1</v>
      </c>
      <c r="J134" s="2">
        <v>2547.6999999999998</v>
      </c>
      <c r="K134" s="2">
        <v>2536</v>
      </c>
      <c r="L134" s="2">
        <v>2540.3000000000002</v>
      </c>
      <c r="M134" s="2">
        <v>2547.98</v>
      </c>
      <c r="N134" s="2">
        <v>3743.9</v>
      </c>
      <c r="O134" s="2">
        <v>2025</v>
      </c>
      <c r="P134">
        <v>514936</v>
      </c>
      <c r="Q134">
        <v>37644</v>
      </c>
    </row>
    <row r="135" spans="1:17" x14ac:dyDescent="0.35">
      <c r="A135" s="1">
        <v>45803</v>
      </c>
      <c r="B135" s="1" t="str">
        <f t="shared" si="8"/>
        <v>Monday</v>
      </c>
      <c r="C135" s="1" t="str">
        <f t="shared" si="9"/>
        <v>May</v>
      </c>
      <c r="D135" s="1" t="str">
        <f t="shared" si="10"/>
        <v>Q2</v>
      </c>
      <c r="E135" s="1" t="str">
        <f t="shared" si="11"/>
        <v>2025</v>
      </c>
      <c r="F135" t="s">
        <v>13</v>
      </c>
      <c r="G135" s="2">
        <v>2549.1</v>
      </c>
      <c r="H135" s="2">
        <v>2568.9</v>
      </c>
      <c r="I135" s="2">
        <v>2541.3000000000002</v>
      </c>
      <c r="J135" s="2">
        <v>2540</v>
      </c>
      <c r="K135" s="2">
        <v>2543.6</v>
      </c>
      <c r="L135" s="2">
        <v>2547.6999999999998</v>
      </c>
      <c r="M135" s="2">
        <v>2554.17</v>
      </c>
      <c r="N135" s="2">
        <v>3743.9</v>
      </c>
      <c r="O135" s="2">
        <v>2025</v>
      </c>
      <c r="P135">
        <v>552912</v>
      </c>
      <c r="Q135">
        <v>31870</v>
      </c>
    </row>
    <row r="136" spans="1:17" x14ac:dyDescent="0.35">
      <c r="A136" s="1">
        <v>45800</v>
      </c>
      <c r="B136" s="1" t="str">
        <f t="shared" si="8"/>
        <v>Friday</v>
      </c>
      <c r="C136" s="1" t="str">
        <f t="shared" si="9"/>
        <v>May</v>
      </c>
      <c r="D136" s="1" t="str">
        <f t="shared" si="10"/>
        <v>Q2</v>
      </c>
      <c r="E136" s="1" t="str">
        <f t="shared" si="11"/>
        <v>2025</v>
      </c>
      <c r="F136" t="s">
        <v>13</v>
      </c>
      <c r="G136" s="2">
        <v>2499</v>
      </c>
      <c r="H136" s="2">
        <v>2548.1</v>
      </c>
      <c r="I136" s="2">
        <v>2490.5</v>
      </c>
      <c r="J136" s="2">
        <v>2487.6</v>
      </c>
      <c r="K136" s="2">
        <v>2537</v>
      </c>
      <c r="L136" s="2">
        <v>2540</v>
      </c>
      <c r="M136" s="2">
        <v>2530.5</v>
      </c>
      <c r="N136" s="2">
        <v>3743.9</v>
      </c>
      <c r="O136" s="2">
        <v>2025</v>
      </c>
      <c r="P136">
        <v>968415</v>
      </c>
      <c r="Q136">
        <v>37154</v>
      </c>
    </row>
    <row r="137" spans="1:17" x14ac:dyDescent="0.35">
      <c r="A137" s="1">
        <v>45799</v>
      </c>
      <c r="B137" s="1" t="str">
        <f t="shared" si="8"/>
        <v>Thursday</v>
      </c>
      <c r="C137" s="1" t="str">
        <f t="shared" si="9"/>
        <v>May</v>
      </c>
      <c r="D137" s="1" t="str">
        <f t="shared" si="10"/>
        <v>Q2</v>
      </c>
      <c r="E137" s="1" t="str">
        <f t="shared" si="11"/>
        <v>2025</v>
      </c>
      <c r="F137" t="s">
        <v>13</v>
      </c>
      <c r="G137" s="2">
        <v>2500.4</v>
      </c>
      <c r="H137" s="2">
        <v>2521.9</v>
      </c>
      <c r="I137" s="2">
        <v>2465.3000000000002</v>
      </c>
      <c r="J137" s="2">
        <v>2500.4</v>
      </c>
      <c r="K137" s="2">
        <v>2496.6</v>
      </c>
      <c r="L137" s="2">
        <v>2487.6</v>
      </c>
      <c r="M137" s="2">
        <v>2492.02</v>
      </c>
      <c r="N137" s="2">
        <v>3743.9</v>
      </c>
      <c r="O137" s="2">
        <v>2025</v>
      </c>
      <c r="P137">
        <v>906909</v>
      </c>
      <c r="Q137">
        <v>50284</v>
      </c>
    </row>
    <row r="138" spans="1:17" x14ac:dyDescent="0.35">
      <c r="A138" s="1">
        <v>45798</v>
      </c>
      <c r="B138" s="1" t="str">
        <f t="shared" si="8"/>
        <v>Wednesday</v>
      </c>
      <c r="C138" s="1" t="str">
        <f t="shared" si="9"/>
        <v>May</v>
      </c>
      <c r="D138" s="1" t="str">
        <f t="shared" si="10"/>
        <v>Q2</v>
      </c>
      <c r="E138" s="1" t="str">
        <f t="shared" si="11"/>
        <v>2025</v>
      </c>
      <c r="F138" t="s">
        <v>13</v>
      </c>
      <c r="G138" s="2">
        <v>2509.6999999999998</v>
      </c>
      <c r="H138" s="2">
        <v>2524.5</v>
      </c>
      <c r="I138" s="2">
        <v>2483.6999999999998</v>
      </c>
      <c r="J138" s="2">
        <v>2501.6</v>
      </c>
      <c r="K138" s="2">
        <v>2503</v>
      </c>
      <c r="L138" s="2">
        <v>2500.4</v>
      </c>
      <c r="M138" s="2">
        <v>2503.2199999999998</v>
      </c>
      <c r="N138" s="2">
        <v>3743.9</v>
      </c>
      <c r="O138" s="2">
        <v>2025</v>
      </c>
      <c r="P138">
        <v>529234</v>
      </c>
      <c r="Q138">
        <v>34568</v>
      </c>
    </row>
    <row r="139" spans="1:17" x14ac:dyDescent="0.35">
      <c r="A139" s="1">
        <v>45797</v>
      </c>
      <c r="B139" s="1" t="str">
        <f t="shared" si="8"/>
        <v>Tuesday</v>
      </c>
      <c r="C139" s="1" t="str">
        <f t="shared" si="9"/>
        <v>May</v>
      </c>
      <c r="D139" s="1" t="str">
        <f t="shared" si="10"/>
        <v>Q2</v>
      </c>
      <c r="E139" s="1" t="str">
        <f t="shared" si="11"/>
        <v>2025</v>
      </c>
      <c r="F139" t="s">
        <v>13</v>
      </c>
      <c r="G139" s="2">
        <v>2545</v>
      </c>
      <c r="H139" s="2">
        <v>2564.8000000000002</v>
      </c>
      <c r="I139" s="2">
        <v>2492.5</v>
      </c>
      <c r="J139" s="2">
        <v>2540.6</v>
      </c>
      <c r="K139" s="2">
        <v>2505.9</v>
      </c>
      <c r="L139" s="2">
        <v>2501.6</v>
      </c>
      <c r="M139" s="2">
        <v>2530.1</v>
      </c>
      <c r="N139" s="2">
        <v>3743.9</v>
      </c>
      <c r="O139" s="2">
        <v>2025</v>
      </c>
      <c r="P139">
        <v>628023</v>
      </c>
      <c r="Q139">
        <v>42558</v>
      </c>
    </row>
    <row r="140" spans="1:17" x14ac:dyDescent="0.35">
      <c r="A140" s="1">
        <v>45796</v>
      </c>
      <c r="B140" s="1" t="str">
        <f t="shared" si="8"/>
        <v>Monday</v>
      </c>
      <c r="C140" s="1" t="str">
        <f t="shared" si="9"/>
        <v>May</v>
      </c>
      <c r="D140" s="1" t="str">
        <f t="shared" si="10"/>
        <v>Q2</v>
      </c>
      <c r="E140" s="1" t="str">
        <f t="shared" si="11"/>
        <v>2025</v>
      </c>
      <c r="F140" t="s">
        <v>13</v>
      </c>
      <c r="G140" s="2">
        <v>2571.3000000000002</v>
      </c>
      <c r="H140" s="2">
        <v>2578.8000000000002</v>
      </c>
      <c r="I140" s="2">
        <v>2536</v>
      </c>
      <c r="J140" s="2">
        <v>2555</v>
      </c>
      <c r="K140" s="2">
        <v>2538</v>
      </c>
      <c r="L140" s="2">
        <v>2540.6</v>
      </c>
      <c r="M140" s="2">
        <v>2556.88</v>
      </c>
      <c r="N140" s="2">
        <v>3743.9</v>
      </c>
      <c r="O140" s="2">
        <v>2025</v>
      </c>
      <c r="P140">
        <v>681000</v>
      </c>
      <c r="Q140">
        <v>41131</v>
      </c>
    </row>
    <row r="141" spans="1:17" x14ac:dyDescent="0.35">
      <c r="A141" s="1">
        <v>45793</v>
      </c>
      <c r="B141" s="1" t="str">
        <f t="shared" si="8"/>
        <v>Friday</v>
      </c>
      <c r="C141" s="1" t="str">
        <f t="shared" si="9"/>
        <v>May</v>
      </c>
      <c r="D141" s="1" t="str">
        <f t="shared" si="10"/>
        <v>Q2</v>
      </c>
      <c r="E141" s="1" t="str">
        <f t="shared" si="11"/>
        <v>2025</v>
      </c>
      <c r="F141" t="s">
        <v>13</v>
      </c>
      <c r="G141" s="2">
        <v>2529</v>
      </c>
      <c r="H141" s="2">
        <v>2584.1999999999998</v>
      </c>
      <c r="I141" s="2">
        <v>2516.1999999999998</v>
      </c>
      <c r="J141" s="2">
        <v>2520</v>
      </c>
      <c r="K141" s="2">
        <v>2551</v>
      </c>
      <c r="L141" s="2">
        <v>2555</v>
      </c>
      <c r="M141" s="2">
        <v>2555.88</v>
      </c>
      <c r="N141" s="2">
        <v>3743.9</v>
      </c>
      <c r="O141" s="2">
        <v>2025</v>
      </c>
      <c r="P141">
        <v>1641135</v>
      </c>
      <c r="Q141">
        <v>64469</v>
      </c>
    </row>
    <row r="142" spans="1:17" x14ac:dyDescent="0.35">
      <c r="A142" s="1">
        <v>45792</v>
      </c>
      <c r="B142" s="1" t="str">
        <f t="shared" si="8"/>
        <v>Thursday</v>
      </c>
      <c r="C142" s="1" t="str">
        <f t="shared" si="9"/>
        <v>May</v>
      </c>
      <c r="D142" s="1" t="str">
        <f t="shared" si="10"/>
        <v>Q2</v>
      </c>
      <c r="E142" s="1" t="str">
        <f t="shared" si="11"/>
        <v>2025</v>
      </c>
      <c r="F142" t="s">
        <v>13</v>
      </c>
      <c r="G142" s="2">
        <v>2463.4</v>
      </c>
      <c r="H142" s="2">
        <v>2526.8000000000002</v>
      </c>
      <c r="I142" s="2">
        <v>2450.6999999999998</v>
      </c>
      <c r="J142" s="2">
        <v>2461.9</v>
      </c>
      <c r="K142" s="2">
        <v>2519</v>
      </c>
      <c r="L142" s="2">
        <v>2520</v>
      </c>
      <c r="M142" s="2">
        <v>2499.39</v>
      </c>
      <c r="N142" s="2">
        <v>3743.9</v>
      </c>
      <c r="O142" s="2">
        <v>2025</v>
      </c>
      <c r="P142">
        <v>1554801</v>
      </c>
      <c r="Q142">
        <v>106591</v>
      </c>
    </row>
    <row r="143" spans="1:17" x14ac:dyDescent="0.35">
      <c r="A143" s="1">
        <v>45791</v>
      </c>
      <c r="B143" s="1" t="str">
        <f t="shared" si="8"/>
        <v>Wednesday</v>
      </c>
      <c r="C143" s="1" t="str">
        <f t="shared" si="9"/>
        <v>May</v>
      </c>
      <c r="D143" s="1" t="str">
        <f t="shared" si="10"/>
        <v>Q2</v>
      </c>
      <c r="E143" s="1" t="str">
        <f t="shared" si="11"/>
        <v>2025</v>
      </c>
      <c r="F143" t="s">
        <v>13</v>
      </c>
      <c r="G143" s="2">
        <v>2444.9</v>
      </c>
      <c r="H143" s="2">
        <v>2481.9</v>
      </c>
      <c r="I143" s="2">
        <v>2430.1</v>
      </c>
      <c r="J143" s="2">
        <v>2441.1999999999998</v>
      </c>
      <c r="K143" s="2">
        <v>2463</v>
      </c>
      <c r="L143" s="2">
        <v>2461.9</v>
      </c>
      <c r="M143" s="2">
        <v>2464.92</v>
      </c>
      <c r="N143" s="2">
        <v>3743.9</v>
      </c>
      <c r="O143" s="2">
        <v>2025</v>
      </c>
      <c r="P143">
        <v>774441</v>
      </c>
      <c r="Q143">
        <v>46754</v>
      </c>
    </row>
    <row r="144" spans="1:17" x14ac:dyDescent="0.35">
      <c r="A144" s="1">
        <v>45790</v>
      </c>
      <c r="B144" s="1" t="str">
        <f t="shared" si="8"/>
        <v>Tuesday</v>
      </c>
      <c r="C144" s="1" t="str">
        <f t="shared" si="9"/>
        <v>May</v>
      </c>
      <c r="D144" s="1" t="str">
        <f t="shared" si="10"/>
        <v>Q2</v>
      </c>
      <c r="E144" s="1" t="str">
        <f t="shared" si="11"/>
        <v>2025</v>
      </c>
      <c r="F144" t="s">
        <v>13</v>
      </c>
      <c r="G144" s="2">
        <v>2425</v>
      </c>
      <c r="H144" s="2">
        <v>2454.9</v>
      </c>
      <c r="I144" s="2">
        <v>2405</v>
      </c>
      <c r="J144" s="2">
        <v>2425.3000000000002</v>
      </c>
      <c r="K144" s="2">
        <v>2438.1999999999998</v>
      </c>
      <c r="L144" s="2">
        <v>2441.1999999999998</v>
      </c>
      <c r="M144" s="2">
        <v>2430.56</v>
      </c>
      <c r="N144" s="2">
        <v>3743.9</v>
      </c>
      <c r="O144" s="2">
        <v>2025</v>
      </c>
      <c r="P144">
        <v>1815179</v>
      </c>
      <c r="Q144">
        <v>88886</v>
      </c>
    </row>
    <row r="145" spans="1:17" x14ac:dyDescent="0.35">
      <c r="A145" s="1">
        <v>45789</v>
      </c>
      <c r="B145" s="1" t="str">
        <f t="shared" si="8"/>
        <v>Monday</v>
      </c>
      <c r="C145" s="1" t="str">
        <f t="shared" si="9"/>
        <v>May</v>
      </c>
      <c r="D145" s="1" t="str">
        <f t="shared" si="10"/>
        <v>Q2</v>
      </c>
      <c r="E145" s="1" t="str">
        <f t="shared" si="11"/>
        <v>2025</v>
      </c>
      <c r="F145" t="s">
        <v>13</v>
      </c>
      <c r="G145" s="2">
        <v>2350</v>
      </c>
      <c r="H145" s="2">
        <v>2433.3000000000002</v>
      </c>
      <c r="I145" s="2">
        <v>2315</v>
      </c>
      <c r="J145" s="2">
        <v>2251</v>
      </c>
      <c r="K145" s="2">
        <v>2425</v>
      </c>
      <c r="L145" s="2">
        <v>2425.3000000000002</v>
      </c>
      <c r="M145" s="2">
        <v>2404.1</v>
      </c>
      <c r="N145" s="2">
        <v>3743.9</v>
      </c>
      <c r="O145" s="2">
        <v>2025</v>
      </c>
      <c r="P145">
        <v>2147039</v>
      </c>
      <c r="Q145">
        <v>89860</v>
      </c>
    </row>
    <row r="146" spans="1:17" x14ac:dyDescent="0.35">
      <c r="A146" s="1">
        <v>45786</v>
      </c>
      <c r="B146" s="1" t="str">
        <f t="shared" si="8"/>
        <v>Friday</v>
      </c>
      <c r="C146" s="1" t="str">
        <f t="shared" si="9"/>
        <v>May</v>
      </c>
      <c r="D146" s="1" t="str">
        <f t="shared" si="10"/>
        <v>Q2</v>
      </c>
      <c r="E146" s="1" t="str">
        <f t="shared" si="11"/>
        <v>2025</v>
      </c>
      <c r="F146" t="s">
        <v>13</v>
      </c>
      <c r="G146" s="2">
        <v>2240</v>
      </c>
      <c r="H146" s="2">
        <v>2273.1</v>
      </c>
      <c r="I146" s="2">
        <v>2233</v>
      </c>
      <c r="J146" s="2">
        <v>2285.3000000000002</v>
      </c>
      <c r="K146" s="2">
        <v>2255</v>
      </c>
      <c r="L146" s="2">
        <v>2251</v>
      </c>
      <c r="M146" s="2">
        <v>2247.36</v>
      </c>
      <c r="N146" s="2">
        <v>3743.9</v>
      </c>
      <c r="O146" s="2">
        <v>2025</v>
      </c>
      <c r="P146">
        <v>1006000</v>
      </c>
      <c r="Q146">
        <v>54744</v>
      </c>
    </row>
    <row r="147" spans="1:17" x14ac:dyDescent="0.35">
      <c r="A147" s="1">
        <v>45785</v>
      </c>
      <c r="B147" s="1" t="str">
        <f t="shared" si="8"/>
        <v>Thursday</v>
      </c>
      <c r="C147" s="1" t="str">
        <f t="shared" si="9"/>
        <v>May</v>
      </c>
      <c r="D147" s="1" t="str">
        <f t="shared" si="10"/>
        <v>Q2</v>
      </c>
      <c r="E147" s="1" t="str">
        <f t="shared" si="11"/>
        <v>2025</v>
      </c>
      <c r="F147" t="s">
        <v>13</v>
      </c>
      <c r="G147" s="2">
        <v>2362</v>
      </c>
      <c r="H147" s="2">
        <v>2367.8000000000002</v>
      </c>
      <c r="I147" s="2">
        <v>2260</v>
      </c>
      <c r="J147" s="2">
        <v>2353.1</v>
      </c>
      <c r="K147" s="2">
        <v>2270</v>
      </c>
      <c r="L147" s="2">
        <v>2285.3000000000002</v>
      </c>
      <c r="M147" s="2">
        <v>2316.2199999999998</v>
      </c>
      <c r="N147" s="2">
        <v>3743.9</v>
      </c>
      <c r="O147" s="2">
        <v>2025</v>
      </c>
      <c r="P147">
        <v>1380069</v>
      </c>
      <c r="Q147">
        <v>77928</v>
      </c>
    </row>
    <row r="148" spans="1:17" x14ac:dyDescent="0.35">
      <c r="A148" s="1">
        <v>45784</v>
      </c>
      <c r="B148" s="1" t="str">
        <f t="shared" si="8"/>
        <v>Wednesday</v>
      </c>
      <c r="C148" s="1" t="str">
        <f t="shared" si="9"/>
        <v>May</v>
      </c>
      <c r="D148" s="1" t="str">
        <f t="shared" si="10"/>
        <v>Q2</v>
      </c>
      <c r="E148" s="1" t="str">
        <f t="shared" si="11"/>
        <v>2025</v>
      </c>
      <c r="F148" t="s">
        <v>13</v>
      </c>
      <c r="G148" s="2">
        <v>2315</v>
      </c>
      <c r="H148" s="2">
        <v>2379.5</v>
      </c>
      <c r="I148" s="2">
        <v>2315</v>
      </c>
      <c r="J148" s="2">
        <v>2354</v>
      </c>
      <c r="K148" s="2">
        <v>2349</v>
      </c>
      <c r="L148" s="2">
        <v>2353.1</v>
      </c>
      <c r="M148" s="2">
        <v>2352.0300000000002</v>
      </c>
      <c r="N148" s="2">
        <v>3743.9</v>
      </c>
      <c r="O148" s="2">
        <v>2025</v>
      </c>
      <c r="P148">
        <v>1012640</v>
      </c>
      <c r="Q148">
        <v>72371</v>
      </c>
    </row>
    <row r="149" spans="1:17" x14ac:dyDescent="0.35">
      <c r="A149" s="1">
        <v>45783</v>
      </c>
      <c r="B149" s="1" t="str">
        <f t="shared" si="8"/>
        <v>Tuesday</v>
      </c>
      <c r="C149" s="1" t="str">
        <f t="shared" si="9"/>
        <v>May</v>
      </c>
      <c r="D149" s="1" t="str">
        <f t="shared" si="10"/>
        <v>Q2</v>
      </c>
      <c r="E149" s="1" t="str">
        <f t="shared" si="11"/>
        <v>2025</v>
      </c>
      <c r="F149" t="s">
        <v>13</v>
      </c>
      <c r="G149" s="2">
        <v>2454</v>
      </c>
      <c r="H149" s="2">
        <v>2463.1999999999998</v>
      </c>
      <c r="I149" s="2">
        <v>2343.5</v>
      </c>
      <c r="J149" s="2">
        <v>2455.5</v>
      </c>
      <c r="K149" s="2">
        <v>2350</v>
      </c>
      <c r="L149" s="2">
        <v>2354</v>
      </c>
      <c r="M149" s="2">
        <v>2393.88</v>
      </c>
      <c r="N149" s="2">
        <v>3743.9</v>
      </c>
      <c r="O149" s="2">
        <v>2025</v>
      </c>
      <c r="P149">
        <v>1524692</v>
      </c>
      <c r="Q149">
        <v>76489</v>
      </c>
    </row>
    <row r="150" spans="1:17" x14ac:dyDescent="0.35">
      <c r="A150" s="1">
        <v>45782</v>
      </c>
      <c r="B150" s="1" t="str">
        <f t="shared" si="8"/>
        <v>Monday</v>
      </c>
      <c r="C150" s="1" t="str">
        <f t="shared" si="9"/>
        <v>May</v>
      </c>
      <c r="D150" s="1" t="str">
        <f t="shared" si="10"/>
        <v>Q2</v>
      </c>
      <c r="E150" s="1" t="str">
        <f t="shared" si="11"/>
        <v>2025</v>
      </c>
      <c r="F150" t="s">
        <v>13</v>
      </c>
      <c r="G150" s="2">
        <v>2312.6</v>
      </c>
      <c r="H150" s="2">
        <v>2497</v>
      </c>
      <c r="I150" s="2">
        <v>2297.8000000000002</v>
      </c>
      <c r="J150" s="2">
        <v>2294.1999999999998</v>
      </c>
      <c r="K150" s="2">
        <v>2465</v>
      </c>
      <c r="L150" s="2">
        <v>2455.5</v>
      </c>
      <c r="M150" s="2">
        <v>2437.2399999999998</v>
      </c>
      <c r="N150" s="2">
        <v>3743.9</v>
      </c>
      <c r="O150" s="2">
        <v>2025</v>
      </c>
      <c r="P150">
        <v>4227194</v>
      </c>
      <c r="Q150">
        <v>183049</v>
      </c>
    </row>
    <row r="151" spans="1:17" x14ac:dyDescent="0.35">
      <c r="A151" s="1">
        <v>45779</v>
      </c>
      <c r="B151" s="1" t="str">
        <f t="shared" si="8"/>
        <v>Friday</v>
      </c>
      <c r="C151" s="1" t="str">
        <f t="shared" si="9"/>
        <v>May</v>
      </c>
      <c r="D151" s="1" t="str">
        <f t="shared" si="10"/>
        <v>Q2</v>
      </c>
      <c r="E151" s="1" t="str">
        <f t="shared" si="11"/>
        <v>2025</v>
      </c>
      <c r="F151" t="s">
        <v>13</v>
      </c>
      <c r="G151" s="2">
        <v>2349.9</v>
      </c>
      <c r="H151" s="2">
        <v>2372.4</v>
      </c>
      <c r="I151" s="2">
        <v>2289.4</v>
      </c>
      <c r="J151" s="2">
        <v>2301.3000000000002</v>
      </c>
      <c r="K151" s="2">
        <v>2290</v>
      </c>
      <c r="L151" s="2">
        <v>2294.1999999999998</v>
      </c>
      <c r="M151" s="2">
        <v>2324.92</v>
      </c>
      <c r="N151" s="2">
        <v>3743.9</v>
      </c>
      <c r="O151" s="2">
        <v>2025</v>
      </c>
      <c r="P151">
        <v>1958739</v>
      </c>
      <c r="Q151">
        <v>97216</v>
      </c>
    </row>
    <row r="152" spans="1:17" x14ac:dyDescent="0.35">
      <c r="A152" s="1">
        <v>45777</v>
      </c>
      <c r="B152" s="1" t="str">
        <f t="shared" si="8"/>
        <v>Wednesday</v>
      </c>
      <c r="C152" s="1" t="str">
        <f t="shared" si="9"/>
        <v>April</v>
      </c>
      <c r="D152" s="1" t="str">
        <f t="shared" si="10"/>
        <v>Q2</v>
      </c>
      <c r="E152" s="1" t="str">
        <f t="shared" si="11"/>
        <v>2025</v>
      </c>
      <c r="F152" t="s">
        <v>13</v>
      </c>
      <c r="G152" s="2">
        <v>2331.4</v>
      </c>
      <c r="H152" s="2">
        <v>2340</v>
      </c>
      <c r="I152" s="2">
        <v>2285</v>
      </c>
      <c r="J152" s="2">
        <v>2330.6</v>
      </c>
      <c r="K152" s="2">
        <v>2290</v>
      </c>
      <c r="L152" s="2">
        <v>2301.3000000000002</v>
      </c>
      <c r="M152" s="2">
        <v>2313.67</v>
      </c>
      <c r="N152" s="2">
        <v>3743.9</v>
      </c>
      <c r="O152" s="2">
        <v>2025</v>
      </c>
      <c r="P152">
        <v>837464</v>
      </c>
      <c r="Q152">
        <v>52676</v>
      </c>
    </row>
    <row r="153" spans="1:17" x14ac:dyDescent="0.35">
      <c r="A153" s="1">
        <v>45776</v>
      </c>
      <c r="B153" s="1" t="str">
        <f t="shared" si="8"/>
        <v>Tuesday</v>
      </c>
      <c r="C153" s="1" t="str">
        <f t="shared" si="9"/>
        <v>April</v>
      </c>
      <c r="D153" s="1" t="str">
        <f t="shared" si="10"/>
        <v>Q2</v>
      </c>
      <c r="E153" s="1" t="str">
        <f t="shared" si="11"/>
        <v>2025</v>
      </c>
      <c r="F153" t="s">
        <v>13</v>
      </c>
      <c r="G153" s="2">
        <v>2392</v>
      </c>
      <c r="H153" s="2">
        <v>2400</v>
      </c>
      <c r="I153" s="2">
        <v>2325.6</v>
      </c>
      <c r="J153" s="2">
        <v>2369.8000000000002</v>
      </c>
      <c r="K153" s="2">
        <v>2330.5</v>
      </c>
      <c r="L153" s="2">
        <v>2330.6</v>
      </c>
      <c r="M153" s="2">
        <v>2353.79</v>
      </c>
      <c r="N153" s="2">
        <v>3743.9</v>
      </c>
      <c r="O153" s="2">
        <v>2025</v>
      </c>
      <c r="P153">
        <v>670730</v>
      </c>
      <c r="Q153">
        <v>43294</v>
      </c>
    </row>
    <row r="154" spans="1:17" x14ac:dyDescent="0.35">
      <c r="A154" s="1">
        <v>45775</v>
      </c>
      <c r="B154" s="1" t="str">
        <f t="shared" si="8"/>
        <v>Monday</v>
      </c>
      <c r="C154" s="1" t="str">
        <f t="shared" si="9"/>
        <v>April</v>
      </c>
      <c r="D154" s="1" t="str">
        <f t="shared" si="10"/>
        <v>Q2</v>
      </c>
      <c r="E154" s="1" t="str">
        <f t="shared" si="11"/>
        <v>2025</v>
      </c>
      <c r="F154" t="s">
        <v>13</v>
      </c>
      <c r="G154" s="2">
        <v>2346</v>
      </c>
      <c r="H154" s="2">
        <v>2402</v>
      </c>
      <c r="I154" s="2">
        <v>2337.6</v>
      </c>
      <c r="J154" s="2">
        <v>2354.3000000000002</v>
      </c>
      <c r="K154" s="2">
        <v>2369.1</v>
      </c>
      <c r="L154" s="2">
        <v>2369.8000000000002</v>
      </c>
      <c r="M154" s="2">
        <v>2373.3000000000002</v>
      </c>
      <c r="N154" s="2">
        <v>3743.9</v>
      </c>
      <c r="O154" s="2">
        <v>2025</v>
      </c>
      <c r="P154">
        <v>681421</v>
      </c>
      <c r="Q154">
        <v>48214</v>
      </c>
    </row>
    <row r="155" spans="1:17" x14ac:dyDescent="0.35">
      <c r="A155" s="1">
        <v>45772</v>
      </c>
      <c r="B155" s="1" t="str">
        <f t="shared" si="8"/>
        <v>Friday</v>
      </c>
      <c r="C155" s="1" t="str">
        <f t="shared" si="9"/>
        <v>April</v>
      </c>
      <c r="D155" s="1" t="str">
        <f t="shared" si="10"/>
        <v>Q2</v>
      </c>
      <c r="E155" s="1" t="str">
        <f t="shared" si="11"/>
        <v>2025</v>
      </c>
      <c r="F155" t="s">
        <v>13</v>
      </c>
      <c r="G155" s="2">
        <v>2450.1</v>
      </c>
      <c r="H155" s="2">
        <v>2459.5</v>
      </c>
      <c r="I155" s="2">
        <v>2323.5</v>
      </c>
      <c r="J155" s="2">
        <v>2442.5</v>
      </c>
      <c r="K155" s="2">
        <v>2346</v>
      </c>
      <c r="L155" s="2">
        <v>2354.3000000000002</v>
      </c>
      <c r="M155" s="2">
        <v>2362.6</v>
      </c>
      <c r="N155" s="2">
        <v>3743.9</v>
      </c>
      <c r="O155" s="2">
        <v>2025</v>
      </c>
      <c r="P155">
        <v>1414809</v>
      </c>
      <c r="Q155">
        <v>82782</v>
      </c>
    </row>
    <row r="156" spans="1:17" x14ac:dyDescent="0.35">
      <c r="A156" s="1">
        <v>45771</v>
      </c>
      <c r="B156" s="1" t="str">
        <f t="shared" si="8"/>
        <v>Thursday</v>
      </c>
      <c r="C156" s="1" t="str">
        <f t="shared" si="9"/>
        <v>April</v>
      </c>
      <c r="D156" s="1" t="str">
        <f t="shared" si="10"/>
        <v>Q2</v>
      </c>
      <c r="E156" s="1" t="str">
        <f t="shared" si="11"/>
        <v>2025</v>
      </c>
      <c r="F156" t="s">
        <v>13</v>
      </c>
      <c r="G156" s="2">
        <v>2450</v>
      </c>
      <c r="H156" s="2">
        <v>2461.4</v>
      </c>
      <c r="I156" s="2">
        <v>2425.1</v>
      </c>
      <c r="J156" s="2">
        <v>2453.6</v>
      </c>
      <c r="K156" s="2">
        <v>2441</v>
      </c>
      <c r="L156" s="2">
        <v>2442.5</v>
      </c>
      <c r="M156" s="2">
        <v>2441.63</v>
      </c>
      <c r="N156" s="2">
        <v>3743.9</v>
      </c>
      <c r="O156" s="2">
        <v>2025</v>
      </c>
      <c r="P156">
        <v>596696</v>
      </c>
      <c r="Q156">
        <v>45640</v>
      </c>
    </row>
    <row r="157" spans="1:17" x14ac:dyDescent="0.35">
      <c r="A157" s="1">
        <v>45770</v>
      </c>
      <c r="B157" s="1" t="str">
        <f t="shared" si="8"/>
        <v>Wednesday</v>
      </c>
      <c r="C157" s="1" t="str">
        <f t="shared" si="9"/>
        <v>April</v>
      </c>
      <c r="D157" s="1" t="str">
        <f t="shared" si="10"/>
        <v>Q2</v>
      </c>
      <c r="E157" s="1" t="str">
        <f t="shared" si="11"/>
        <v>2025</v>
      </c>
      <c r="F157" t="s">
        <v>13</v>
      </c>
      <c r="G157" s="2">
        <v>2460</v>
      </c>
      <c r="H157" s="2">
        <v>2473.8000000000002</v>
      </c>
      <c r="I157" s="2">
        <v>2421.1999999999998</v>
      </c>
      <c r="J157" s="2">
        <v>2445.5</v>
      </c>
      <c r="K157" s="2">
        <v>2446</v>
      </c>
      <c r="L157" s="2">
        <v>2453.6</v>
      </c>
      <c r="M157" s="2">
        <v>2448.1799999999998</v>
      </c>
      <c r="N157" s="2">
        <v>3743.9</v>
      </c>
      <c r="O157" s="2">
        <v>2025</v>
      </c>
      <c r="P157">
        <v>672262</v>
      </c>
      <c r="Q157">
        <v>44335</v>
      </c>
    </row>
    <row r="158" spans="1:17" x14ac:dyDescent="0.35">
      <c r="A158" s="1">
        <v>45769</v>
      </c>
      <c r="B158" s="1" t="str">
        <f t="shared" si="8"/>
        <v>Tuesday</v>
      </c>
      <c r="C158" s="1" t="str">
        <f t="shared" si="9"/>
        <v>April</v>
      </c>
      <c r="D158" s="1" t="str">
        <f t="shared" si="10"/>
        <v>Q2</v>
      </c>
      <c r="E158" s="1" t="str">
        <f t="shared" si="11"/>
        <v>2025</v>
      </c>
      <c r="F158" t="s">
        <v>13</v>
      </c>
      <c r="G158" s="2">
        <v>2458.9</v>
      </c>
      <c r="H158" s="2">
        <v>2483.4</v>
      </c>
      <c r="I158" s="2">
        <v>2441</v>
      </c>
      <c r="J158" s="2">
        <v>2442.6999999999998</v>
      </c>
      <c r="K158" s="2">
        <v>2442.9</v>
      </c>
      <c r="L158" s="2">
        <v>2445.5</v>
      </c>
      <c r="M158" s="2">
        <v>2462.4899999999998</v>
      </c>
      <c r="N158" s="2">
        <v>3743.9</v>
      </c>
      <c r="O158" s="2">
        <v>2025</v>
      </c>
      <c r="P158">
        <v>766567</v>
      </c>
      <c r="Q158">
        <v>45565</v>
      </c>
    </row>
    <row r="159" spans="1:17" x14ac:dyDescent="0.35">
      <c r="A159" s="1">
        <v>45768</v>
      </c>
      <c r="B159" s="1" t="str">
        <f t="shared" si="8"/>
        <v>Monday</v>
      </c>
      <c r="C159" s="1" t="str">
        <f t="shared" si="9"/>
        <v>April</v>
      </c>
      <c r="D159" s="1" t="str">
        <f t="shared" si="10"/>
        <v>Q2</v>
      </c>
      <c r="E159" s="1" t="str">
        <f t="shared" si="11"/>
        <v>2025</v>
      </c>
      <c r="F159" t="s">
        <v>13</v>
      </c>
      <c r="G159" s="2">
        <v>2426.1</v>
      </c>
      <c r="H159" s="2">
        <v>2464.9</v>
      </c>
      <c r="I159" s="2">
        <v>2395.5</v>
      </c>
      <c r="J159" s="2">
        <v>2418.1</v>
      </c>
      <c r="K159" s="2">
        <v>2440</v>
      </c>
      <c r="L159" s="2">
        <v>2442.6999999999998</v>
      </c>
      <c r="M159" s="2">
        <v>2436.61</v>
      </c>
      <c r="N159" s="2">
        <v>3743.9</v>
      </c>
      <c r="O159" s="2">
        <v>2025</v>
      </c>
      <c r="P159">
        <v>782559</v>
      </c>
      <c r="Q159">
        <v>49163</v>
      </c>
    </row>
    <row r="160" spans="1:17" x14ac:dyDescent="0.35">
      <c r="A160" s="1">
        <v>45764</v>
      </c>
      <c r="B160" s="1" t="str">
        <f t="shared" si="8"/>
        <v>Thursday</v>
      </c>
      <c r="C160" s="1" t="str">
        <f t="shared" si="9"/>
        <v>April</v>
      </c>
      <c r="D160" s="1" t="str">
        <f t="shared" si="10"/>
        <v>Q2</v>
      </c>
      <c r="E160" s="1" t="str">
        <f t="shared" si="11"/>
        <v>2025</v>
      </c>
      <c r="F160" t="s">
        <v>13</v>
      </c>
      <c r="G160" s="2">
        <v>2418</v>
      </c>
      <c r="H160" s="2">
        <v>2448.6</v>
      </c>
      <c r="I160" s="2">
        <v>2392</v>
      </c>
      <c r="J160" s="2">
        <v>2415.6</v>
      </c>
      <c r="K160" s="2">
        <v>2414.8000000000002</v>
      </c>
      <c r="L160" s="2">
        <v>2418.1</v>
      </c>
      <c r="M160" s="2">
        <v>2423.13</v>
      </c>
      <c r="N160" s="2">
        <v>3743.9</v>
      </c>
      <c r="O160" s="2">
        <v>2025</v>
      </c>
      <c r="P160">
        <v>1054797</v>
      </c>
      <c r="Q160">
        <v>65818</v>
      </c>
    </row>
    <row r="161" spans="1:17" x14ac:dyDescent="0.35">
      <c r="A161" s="1">
        <v>45763</v>
      </c>
      <c r="B161" s="1" t="str">
        <f t="shared" si="8"/>
        <v>Wednesday</v>
      </c>
      <c r="C161" s="1" t="str">
        <f t="shared" si="9"/>
        <v>April</v>
      </c>
      <c r="D161" s="1" t="str">
        <f t="shared" si="10"/>
        <v>Q2</v>
      </c>
      <c r="E161" s="1" t="str">
        <f t="shared" si="11"/>
        <v>2025</v>
      </c>
      <c r="F161" t="s">
        <v>13</v>
      </c>
      <c r="G161" s="2">
        <v>2400</v>
      </c>
      <c r="H161" s="2">
        <v>2428</v>
      </c>
      <c r="I161" s="2">
        <v>2382.9</v>
      </c>
      <c r="J161" s="2">
        <v>2418.1999999999998</v>
      </c>
      <c r="K161" s="2">
        <v>2414.1</v>
      </c>
      <c r="L161" s="2">
        <v>2415.6</v>
      </c>
      <c r="M161" s="2">
        <v>2405.12</v>
      </c>
      <c r="N161" s="2">
        <v>3743.9</v>
      </c>
      <c r="O161" s="2">
        <v>2025</v>
      </c>
      <c r="P161">
        <v>889949</v>
      </c>
      <c r="Q161">
        <v>49754</v>
      </c>
    </row>
    <row r="162" spans="1:17" x14ac:dyDescent="0.35">
      <c r="A162" s="1">
        <v>45762</v>
      </c>
      <c r="B162" s="1" t="str">
        <f t="shared" si="8"/>
        <v>Tuesday</v>
      </c>
      <c r="C162" s="1" t="str">
        <f t="shared" si="9"/>
        <v>April</v>
      </c>
      <c r="D162" s="1" t="str">
        <f t="shared" si="10"/>
        <v>Q2</v>
      </c>
      <c r="E162" s="1" t="str">
        <f t="shared" si="11"/>
        <v>2025</v>
      </c>
      <c r="F162" t="s">
        <v>13</v>
      </c>
      <c r="G162" s="2">
        <v>2375</v>
      </c>
      <c r="H162" s="2">
        <v>2440</v>
      </c>
      <c r="I162" s="2">
        <v>2359</v>
      </c>
      <c r="J162" s="2">
        <v>2321.4</v>
      </c>
      <c r="K162" s="2">
        <v>2415.9</v>
      </c>
      <c r="L162" s="2">
        <v>2418.1999999999998</v>
      </c>
      <c r="M162" s="2">
        <v>2410.0500000000002</v>
      </c>
      <c r="N162" s="2">
        <v>3743.9</v>
      </c>
      <c r="O162" s="2">
        <v>2025</v>
      </c>
      <c r="P162">
        <v>1145125</v>
      </c>
      <c r="Q162">
        <v>64533</v>
      </c>
    </row>
    <row r="163" spans="1:17" x14ac:dyDescent="0.35">
      <c r="A163" s="1">
        <v>45758</v>
      </c>
      <c r="B163" s="1" t="str">
        <f t="shared" si="8"/>
        <v>Friday</v>
      </c>
      <c r="C163" s="1" t="str">
        <f t="shared" si="9"/>
        <v>April</v>
      </c>
      <c r="D163" s="1" t="str">
        <f t="shared" si="10"/>
        <v>Q2</v>
      </c>
      <c r="E163" s="1" t="str">
        <f t="shared" si="11"/>
        <v>2025</v>
      </c>
      <c r="F163" t="s">
        <v>13</v>
      </c>
      <c r="G163" s="2">
        <v>2303.0500000000002</v>
      </c>
      <c r="H163" s="2">
        <v>2343.5</v>
      </c>
      <c r="I163" s="2">
        <v>2281</v>
      </c>
      <c r="J163" s="2">
        <v>2236.9</v>
      </c>
      <c r="K163" s="2">
        <v>2318.75</v>
      </c>
      <c r="L163" s="2">
        <v>2321.4</v>
      </c>
      <c r="M163" s="2">
        <v>2317.4299999999998</v>
      </c>
      <c r="N163" s="2">
        <v>3743.9</v>
      </c>
      <c r="O163" s="2">
        <v>2025</v>
      </c>
      <c r="P163">
        <v>981463</v>
      </c>
      <c r="Q163">
        <v>61931</v>
      </c>
    </row>
    <row r="164" spans="1:17" x14ac:dyDescent="0.35">
      <c r="A164" s="1">
        <v>45756</v>
      </c>
      <c r="B164" s="1" t="str">
        <f t="shared" si="8"/>
        <v>Wednesday</v>
      </c>
      <c r="C164" s="1" t="str">
        <f t="shared" si="9"/>
        <v>April</v>
      </c>
      <c r="D164" s="1" t="str">
        <f t="shared" si="10"/>
        <v>Q2</v>
      </c>
      <c r="E164" s="1" t="str">
        <f t="shared" si="11"/>
        <v>2025</v>
      </c>
      <c r="F164" t="s">
        <v>13</v>
      </c>
      <c r="G164" s="2">
        <v>2265.6999999999998</v>
      </c>
      <c r="H164" s="2">
        <v>2279.5500000000002</v>
      </c>
      <c r="I164" s="2">
        <v>2215.1999999999998</v>
      </c>
      <c r="J164" s="2">
        <v>2285.6999999999998</v>
      </c>
      <c r="K164" s="2">
        <v>2243.4499999999998</v>
      </c>
      <c r="L164" s="2">
        <v>2236.9</v>
      </c>
      <c r="M164" s="2">
        <v>2239.69</v>
      </c>
      <c r="N164" s="2">
        <v>3743.9</v>
      </c>
      <c r="O164" s="2">
        <v>2025</v>
      </c>
      <c r="P164">
        <v>1001633</v>
      </c>
      <c r="Q164">
        <v>56281</v>
      </c>
    </row>
    <row r="165" spans="1:17" x14ac:dyDescent="0.35">
      <c r="A165" s="1">
        <v>45755</v>
      </c>
      <c r="B165" s="1" t="str">
        <f t="shared" si="8"/>
        <v>Tuesday</v>
      </c>
      <c r="C165" s="1" t="str">
        <f t="shared" si="9"/>
        <v>April</v>
      </c>
      <c r="D165" s="1" t="str">
        <f t="shared" si="10"/>
        <v>Q2</v>
      </c>
      <c r="E165" s="1" t="str">
        <f t="shared" si="11"/>
        <v>2025</v>
      </c>
      <c r="F165" t="s">
        <v>13</v>
      </c>
      <c r="G165" s="2">
        <v>2270</v>
      </c>
      <c r="H165" s="2">
        <v>2301</v>
      </c>
      <c r="I165" s="2">
        <v>2225</v>
      </c>
      <c r="J165" s="2">
        <v>2212.6999999999998</v>
      </c>
      <c r="K165" s="2">
        <v>2288.9499999999998</v>
      </c>
      <c r="L165" s="2">
        <v>2285.6999999999998</v>
      </c>
      <c r="M165" s="2">
        <v>2273.41</v>
      </c>
      <c r="N165" s="2">
        <v>3743.9</v>
      </c>
      <c r="O165" s="2">
        <v>2025</v>
      </c>
      <c r="P165">
        <v>1224362</v>
      </c>
      <c r="Q165">
        <v>61791</v>
      </c>
    </row>
    <row r="166" spans="1:17" x14ac:dyDescent="0.35">
      <c r="A166" s="1">
        <v>45754</v>
      </c>
      <c r="B166" s="1" t="str">
        <f t="shared" si="8"/>
        <v>Monday</v>
      </c>
      <c r="C166" s="1" t="str">
        <f t="shared" si="9"/>
        <v>April</v>
      </c>
      <c r="D166" s="1" t="str">
        <f t="shared" si="10"/>
        <v>Q2</v>
      </c>
      <c r="E166" s="1" t="str">
        <f t="shared" si="11"/>
        <v>2025</v>
      </c>
      <c r="F166" t="s">
        <v>13</v>
      </c>
      <c r="G166" s="2">
        <v>2150.0500000000002</v>
      </c>
      <c r="H166" s="2">
        <v>2239</v>
      </c>
      <c r="I166" s="2">
        <v>2145</v>
      </c>
      <c r="J166" s="2">
        <v>2334.65</v>
      </c>
      <c r="K166" s="2">
        <v>2222.9</v>
      </c>
      <c r="L166" s="2">
        <v>2212.6999999999998</v>
      </c>
      <c r="M166" s="2">
        <v>2195.5700000000002</v>
      </c>
      <c r="N166" s="2">
        <v>3743.9</v>
      </c>
      <c r="O166" s="2">
        <v>2025</v>
      </c>
      <c r="P166">
        <v>1567177</v>
      </c>
      <c r="Q166">
        <v>91075</v>
      </c>
    </row>
    <row r="167" spans="1:17" x14ac:dyDescent="0.35">
      <c r="A167" s="1">
        <v>45751</v>
      </c>
      <c r="B167" s="1" t="str">
        <f t="shared" si="8"/>
        <v>Friday</v>
      </c>
      <c r="C167" s="1" t="str">
        <f t="shared" si="9"/>
        <v>April</v>
      </c>
      <c r="D167" s="1" t="str">
        <f t="shared" si="10"/>
        <v>Q2</v>
      </c>
      <c r="E167" s="1" t="str">
        <f t="shared" si="11"/>
        <v>2025</v>
      </c>
      <c r="F167" t="s">
        <v>13</v>
      </c>
      <c r="G167" s="2">
        <v>2394.9499999999998</v>
      </c>
      <c r="H167" s="2">
        <v>2410.0500000000002</v>
      </c>
      <c r="I167" s="2">
        <v>2315.5</v>
      </c>
      <c r="J167" s="2">
        <v>2410.8000000000002</v>
      </c>
      <c r="K167" s="2">
        <v>2336.3000000000002</v>
      </c>
      <c r="L167" s="2">
        <v>2334.65</v>
      </c>
      <c r="M167" s="2">
        <v>2344.17</v>
      </c>
      <c r="N167" s="2">
        <v>3743.9</v>
      </c>
      <c r="O167" s="2">
        <v>2025</v>
      </c>
      <c r="P167">
        <v>1219733</v>
      </c>
      <c r="Q167">
        <v>68843</v>
      </c>
    </row>
    <row r="168" spans="1:17" x14ac:dyDescent="0.35">
      <c r="A168" s="1">
        <v>45750</v>
      </c>
      <c r="B168" s="1" t="str">
        <f t="shared" si="8"/>
        <v>Thursday</v>
      </c>
      <c r="C168" s="1" t="str">
        <f t="shared" si="9"/>
        <v>April</v>
      </c>
      <c r="D168" s="1" t="str">
        <f t="shared" si="10"/>
        <v>Q2</v>
      </c>
      <c r="E168" s="1" t="str">
        <f t="shared" si="11"/>
        <v>2025</v>
      </c>
      <c r="F168" t="s">
        <v>13</v>
      </c>
      <c r="G168" s="2">
        <v>2339.75</v>
      </c>
      <c r="H168" s="2">
        <v>2429.9</v>
      </c>
      <c r="I168" s="2">
        <v>2339.6999999999998</v>
      </c>
      <c r="J168" s="2">
        <v>2369.4</v>
      </c>
      <c r="K168" s="2">
        <v>2414</v>
      </c>
      <c r="L168" s="2">
        <v>2410.8000000000002</v>
      </c>
      <c r="M168" s="2">
        <v>2403.94</v>
      </c>
      <c r="N168" s="2">
        <v>3743.9</v>
      </c>
      <c r="O168" s="2">
        <v>2025</v>
      </c>
      <c r="P168">
        <v>1023200</v>
      </c>
      <c r="Q168">
        <v>59356</v>
      </c>
    </row>
    <row r="169" spans="1:17" x14ac:dyDescent="0.35">
      <c r="A169" s="1">
        <v>45749</v>
      </c>
      <c r="B169" s="1" t="str">
        <f t="shared" si="8"/>
        <v>Wednesday</v>
      </c>
      <c r="C169" s="1" t="str">
        <f t="shared" si="9"/>
        <v>April</v>
      </c>
      <c r="D169" s="1" t="str">
        <f t="shared" si="10"/>
        <v>Q2</v>
      </c>
      <c r="E169" s="1" t="str">
        <f t="shared" si="11"/>
        <v>2025</v>
      </c>
      <c r="F169" t="s">
        <v>13</v>
      </c>
      <c r="G169" s="2">
        <v>2339.75</v>
      </c>
      <c r="H169" s="2">
        <v>2378.85</v>
      </c>
      <c r="I169" s="2">
        <v>2314.5500000000002</v>
      </c>
      <c r="J169" s="2">
        <v>2335.25</v>
      </c>
      <c r="K169" s="2">
        <v>2369</v>
      </c>
      <c r="L169" s="2">
        <v>2369.4</v>
      </c>
      <c r="M169" s="2">
        <v>2352.69</v>
      </c>
      <c r="N169" s="2">
        <v>3743.9</v>
      </c>
      <c r="O169" s="2">
        <v>2025</v>
      </c>
      <c r="P169">
        <v>573928</v>
      </c>
      <c r="Q169">
        <v>44789</v>
      </c>
    </row>
    <row r="170" spans="1:17" x14ac:dyDescent="0.35">
      <c r="A170" s="1">
        <v>45748</v>
      </c>
      <c r="B170" s="1" t="str">
        <f t="shared" si="8"/>
        <v>Tuesday</v>
      </c>
      <c r="C170" s="1" t="str">
        <f t="shared" si="9"/>
        <v>April</v>
      </c>
      <c r="D170" s="1" t="str">
        <f t="shared" si="10"/>
        <v>Q2</v>
      </c>
      <c r="E170" s="1" t="str">
        <f t="shared" si="11"/>
        <v>2025</v>
      </c>
      <c r="F170" t="s">
        <v>13</v>
      </c>
      <c r="G170" s="2">
        <v>2312</v>
      </c>
      <c r="H170" s="2">
        <v>2358.9499999999998</v>
      </c>
      <c r="I170" s="2">
        <v>2301</v>
      </c>
      <c r="J170" s="2">
        <v>2315.8000000000002</v>
      </c>
      <c r="K170" s="2">
        <v>2340</v>
      </c>
      <c r="L170" s="2">
        <v>2335.25</v>
      </c>
      <c r="M170" s="2">
        <v>2335.0500000000002</v>
      </c>
      <c r="N170" s="2">
        <v>3743.9</v>
      </c>
      <c r="O170" s="2">
        <v>2025</v>
      </c>
      <c r="P170">
        <v>501942</v>
      </c>
      <c r="Q170">
        <v>38905</v>
      </c>
    </row>
    <row r="171" spans="1:17" x14ac:dyDescent="0.35">
      <c r="A171" s="1">
        <v>45744</v>
      </c>
      <c r="B171" s="1" t="str">
        <f t="shared" si="8"/>
        <v>Friday</v>
      </c>
      <c r="C171" s="1" t="str">
        <f t="shared" si="9"/>
        <v>March</v>
      </c>
      <c r="D171" s="1" t="str">
        <f t="shared" si="10"/>
        <v>Q1</v>
      </c>
      <c r="E171" s="1" t="str">
        <f t="shared" si="11"/>
        <v>2025</v>
      </c>
      <c r="F171" t="s">
        <v>13</v>
      </c>
      <c r="G171" s="2">
        <v>2376</v>
      </c>
      <c r="H171" s="2">
        <v>2386.9499999999998</v>
      </c>
      <c r="I171" s="2">
        <v>2293.6999999999998</v>
      </c>
      <c r="J171" s="2">
        <v>2363.35</v>
      </c>
      <c r="K171" s="2">
        <v>2316.65</v>
      </c>
      <c r="L171" s="2">
        <v>2315.8000000000002</v>
      </c>
      <c r="M171" s="2">
        <v>2330.66</v>
      </c>
      <c r="N171" s="2">
        <v>3743.9</v>
      </c>
      <c r="O171" s="2">
        <v>2025</v>
      </c>
      <c r="P171">
        <v>1838836</v>
      </c>
      <c r="Q171">
        <v>70667</v>
      </c>
    </row>
    <row r="172" spans="1:17" x14ac:dyDescent="0.35">
      <c r="A172" s="1">
        <v>45743</v>
      </c>
      <c r="B172" s="1" t="str">
        <f t="shared" si="8"/>
        <v>Thursday</v>
      </c>
      <c r="C172" s="1" t="str">
        <f t="shared" si="9"/>
        <v>March</v>
      </c>
      <c r="D172" s="1" t="str">
        <f t="shared" si="10"/>
        <v>Q1</v>
      </c>
      <c r="E172" s="1" t="str">
        <f t="shared" si="11"/>
        <v>2025</v>
      </c>
      <c r="F172" t="s">
        <v>13</v>
      </c>
      <c r="G172" s="2">
        <v>2310</v>
      </c>
      <c r="H172" s="2">
        <v>2373.9</v>
      </c>
      <c r="I172" s="2">
        <v>2291.6</v>
      </c>
      <c r="J172" s="2">
        <v>2312.6</v>
      </c>
      <c r="K172" s="2">
        <v>2363</v>
      </c>
      <c r="L172" s="2">
        <v>2363.35</v>
      </c>
      <c r="M172" s="2">
        <v>2332.2600000000002</v>
      </c>
      <c r="N172" s="2">
        <v>3743.9</v>
      </c>
      <c r="O172" s="2">
        <v>2025</v>
      </c>
      <c r="P172">
        <v>1696042</v>
      </c>
      <c r="Q172">
        <v>81185</v>
      </c>
    </row>
    <row r="173" spans="1:17" x14ac:dyDescent="0.35">
      <c r="A173" s="1">
        <v>45742</v>
      </c>
      <c r="B173" s="1" t="str">
        <f t="shared" si="8"/>
        <v>Wednesday</v>
      </c>
      <c r="C173" s="1" t="str">
        <f t="shared" si="9"/>
        <v>March</v>
      </c>
      <c r="D173" s="1" t="str">
        <f t="shared" si="10"/>
        <v>Q1</v>
      </c>
      <c r="E173" s="1" t="str">
        <f t="shared" si="11"/>
        <v>2025</v>
      </c>
      <c r="F173" t="s">
        <v>13</v>
      </c>
      <c r="G173" s="2">
        <v>2324.9</v>
      </c>
      <c r="H173" s="2">
        <v>2359.85</v>
      </c>
      <c r="I173" s="2">
        <v>2308.0500000000002</v>
      </c>
      <c r="J173" s="2">
        <v>2320.35</v>
      </c>
      <c r="K173" s="2">
        <v>2314</v>
      </c>
      <c r="L173" s="2">
        <v>2312.6</v>
      </c>
      <c r="M173" s="2">
        <v>2332.77</v>
      </c>
      <c r="N173" s="2">
        <v>3743.9</v>
      </c>
      <c r="O173" s="2">
        <v>2025</v>
      </c>
      <c r="P173">
        <v>1078870</v>
      </c>
      <c r="Q173">
        <v>58779</v>
      </c>
    </row>
    <row r="174" spans="1:17" x14ac:dyDescent="0.35">
      <c r="A174" s="1">
        <v>45741</v>
      </c>
      <c r="B174" s="1" t="str">
        <f t="shared" si="8"/>
        <v>Tuesday</v>
      </c>
      <c r="C174" s="1" t="str">
        <f t="shared" si="9"/>
        <v>March</v>
      </c>
      <c r="D174" s="1" t="str">
        <f t="shared" si="10"/>
        <v>Q1</v>
      </c>
      <c r="E174" s="1" t="str">
        <f t="shared" si="11"/>
        <v>2025</v>
      </c>
      <c r="F174" t="s">
        <v>13</v>
      </c>
      <c r="G174" s="2">
        <v>2385</v>
      </c>
      <c r="H174" s="2">
        <v>2387.65</v>
      </c>
      <c r="I174" s="2">
        <v>2315.1</v>
      </c>
      <c r="J174" s="2">
        <v>2368.6999999999998</v>
      </c>
      <c r="K174" s="2">
        <v>2319.5</v>
      </c>
      <c r="L174" s="2">
        <v>2320.35</v>
      </c>
      <c r="M174" s="2">
        <v>2339.21</v>
      </c>
      <c r="N174" s="2">
        <v>3743.9</v>
      </c>
      <c r="O174" s="2">
        <v>2025</v>
      </c>
      <c r="P174">
        <v>763065</v>
      </c>
      <c r="Q174">
        <v>46534</v>
      </c>
    </row>
    <row r="175" spans="1:17" x14ac:dyDescent="0.35">
      <c r="A175" s="1">
        <v>45740</v>
      </c>
      <c r="B175" s="1" t="str">
        <f t="shared" si="8"/>
        <v>Monday</v>
      </c>
      <c r="C175" s="1" t="str">
        <f t="shared" si="9"/>
        <v>March</v>
      </c>
      <c r="D175" s="1" t="str">
        <f t="shared" si="10"/>
        <v>Q1</v>
      </c>
      <c r="E175" s="1" t="str">
        <f t="shared" si="11"/>
        <v>2025</v>
      </c>
      <c r="F175" t="s">
        <v>13</v>
      </c>
      <c r="G175" s="2">
        <v>2370</v>
      </c>
      <c r="H175" s="2">
        <v>2395</v>
      </c>
      <c r="I175" s="2">
        <v>2361.1</v>
      </c>
      <c r="J175" s="2">
        <v>2362.8000000000002</v>
      </c>
      <c r="K175" s="2">
        <v>2370</v>
      </c>
      <c r="L175" s="2">
        <v>2368.6999999999998</v>
      </c>
      <c r="M175" s="2">
        <v>2376.1999999999998</v>
      </c>
      <c r="N175" s="2">
        <v>3743.9</v>
      </c>
      <c r="O175" s="2">
        <v>2025</v>
      </c>
      <c r="P175">
        <v>1010184</v>
      </c>
      <c r="Q175">
        <v>39593</v>
      </c>
    </row>
    <row r="176" spans="1:17" x14ac:dyDescent="0.35">
      <c r="A176" s="1">
        <v>45737</v>
      </c>
      <c r="B176" s="1" t="str">
        <f t="shared" si="8"/>
        <v>Friday</v>
      </c>
      <c r="C176" s="1" t="str">
        <f t="shared" si="9"/>
        <v>March</v>
      </c>
      <c r="D176" s="1" t="str">
        <f t="shared" si="10"/>
        <v>Q1</v>
      </c>
      <c r="E176" s="1" t="str">
        <f t="shared" si="11"/>
        <v>2025</v>
      </c>
      <c r="F176" t="s">
        <v>13</v>
      </c>
      <c r="G176" s="2">
        <v>2343.8000000000002</v>
      </c>
      <c r="H176" s="2">
        <v>2389.5500000000002</v>
      </c>
      <c r="I176" s="2">
        <v>2338</v>
      </c>
      <c r="J176" s="2">
        <v>2339.3000000000002</v>
      </c>
      <c r="K176" s="2">
        <v>2365</v>
      </c>
      <c r="L176" s="2">
        <v>2362.8000000000002</v>
      </c>
      <c r="M176" s="2">
        <v>2365.79</v>
      </c>
      <c r="N176" s="2">
        <v>3743.9</v>
      </c>
      <c r="O176" s="2">
        <v>2025</v>
      </c>
      <c r="P176">
        <v>1101418</v>
      </c>
      <c r="Q176">
        <v>55299</v>
      </c>
    </row>
    <row r="177" spans="1:17" x14ac:dyDescent="0.35">
      <c r="A177" s="1">
        <v>45736</v>
      </c>
      <c r="B177" s="1" t="str">
        <f t="shared" si="8"/>
        <v>Thursday</v>
      </c>
      <c r="C177" s="1" t="str">
        <f t="shared" si="9"/>
        <v>March</v>
      </c>
      <c r="D177" s="1" t="str">
        <f t="shared" si="10"/>
        <v>Q1</v>
      </c>
      <c r="E177" s="1" t="str">
        <f t="shared" si="11"/>
        <v>2025</v>
      </c>
      <c r="F177" t="s">
        <v>13</v>
      </c>
      <c r="G177" s="2">
        <v>2348</v>
      </c>
      <c r="H177" s="2">
        <v>2348</v>
      </c>
      <c r="I177" s="2">
        <v>2299</v>
      </c>
      <c r="J177" s="2">
        <v>2318.65</v>
      </c>
      <c r="K177" s="2">
        <v>2338.0500000000002</v>
      </c>
      <c r="L177" s="2">
        <v>2339.3000000000002</v>
      </c>
      <c r="M177" s="2">
        <v>2330.0100000000002</v>
      </c>
      <c r="N177" s="2">
        <v>3743.9</v>
      </c>
      <c r="O177" s="2">
        <v>2025</v>
      </c>
      <c r="P177">
        <v>2587051</v>
      </c>
      <c r="Q177">
        <v>55254</v>
      </c>
    </row>
    <row r="178" spans="1:17" x14ac:dyDescent="0.35">
      <c r="A178" s="1">
        <v>45735</v>
      </c>
      <c r="B178" s="1" t="str">
        <f t="shared" si="8"/>
        <v>Wednesday</v>
      </c>
      <c r="C178" s="1" t="str">
        <f t="shared" si="9"/>
        <v>March</v>
      </c>
      <c r="D178" s="1" t="str">
        <f t="shared" si="10"/>
        <v>Q1</v>
      </c>
      <c r="E178" s="1" t="str">
        <f t="shared" si="11"/>
        <v>2025</v>
      </c>
      <c r="F178" t="s">
        <v>13</v>
      </c>
      <c r="G178" s="2">
        <v>2319.9499999999998</v>
      </c>
      <c r="H178" s="2">
        <v>2342</v>
      </c>
      <c r="I178" s="2">
        <v>2311.0500000000002</v>
      </c>
      <c r="J178" s="2">
        <v>2308.5</v>
      </c>
      <c r="K178" s="2">
        <v>2316.9</v>
      </c>
      <c r="L178" s="2">
        <v>2318.65</v>
      </c>
      <c r="M178" s="2">
        <v>2324.6799999999998</v>
      </c>
      <c r="N178" s="2">
        <v>3743.9</v>
      </c>
      <c r="O178" s="2">
        <v>2025</v>
      </c>
      <c r="P178">
        <v>1030345</v>
      </c>
      <c r="Q178">
        <v>42002</v>
      </c>
    </row>
    <row r="179" spans="1:17" x14ac:dyDescent="0.35">
      <c r="A179" s="1">
        <v>45734</v>
      </c>
      <c r="B179" s="1" t="str">
        <f t="shared" si="8"/>
        <v>Tuesday</v>
      </c>
      <c r="C179" s="1" t="str">
        <f t="shared" si="9"/>
        <v>March</v>
      </c>
      <c r="D179" s="1" t="str">
        <f t="shared" si="10"/>
        <v>Q1</v>
      </c>
      <c r="E179" s="1" t="str">
        <f t="shared" si="11"/>
        <v>2025</v>
      </c>
      <c r="F179" t="s">
        <v>13</v>
      </c>
      <c r="G179" s="2">
        <v>2274</v>
      </c>
      <c r="H179" s="2">
        <v>2314.1999999999998</v>
      </c>
      <c r="I179" s="2">
        <v>2259.75</v>
      </c>
      <c r="J179" s="2">
        <v>2252.6999999999998</v>
      </c>
      <c r="K179" s="2">
        <v>2304.5500000000002</v>
      </c>
      <c r="L179" s="2">
        <v>2308.5</v>
      </c>
      <c r="M179" s="2">
        <v>2291.19</v>
      </c>
      <c r="N179" s="2">
        <v>3743.9</v>
      </c>
      <c r="O179" s="2">
        <v>2025</v>
      </c>
      <c r="P179">
        <v>878007</v>
      </c>
      <c r="Q179">
        <v>47968</v>
      </c>
    </row>
    <row r="180" spans="1:17" x14ac:dyDescent="0.35">
      <c r="A180" s="1">
        <v>45733</v>
      </c>
      <c r="B180" s="1" t="str">
        <f t="shared" si="8"/>
        <v>Monday</v>
      </c>
      <c r="C180" s="1" t="str">
        <f t="shared" si="9"/>
        <v>March</v>
      </c>
      <c r="D180" s="1" t="str">
        <f t="shared" si="10"/>
        <v>Q1</v>
      </c>
      <c r="E180" s="1" t="str">
        <f t="shared" si="11"/>
        <v>2025</v>
      </c>
      <c r="F180" t="s">
        <v>13</v>
      </c>
      <c r="G180" s="2">
        <v>2200</v>
      </c>
      <c r="H180" s="2">
        <v>2286.9</v>
      </c>
      <c r="I180" s="2">
        <v>2198</v>
      </c>
      <c r="J180" s="2">
        <v>2221.1</v>
      </c>
      <c r="K180" s="2">
        <v>2251</v>
      </c>
      <c r="L180" s="2">
        <v>2252.6999999999998</v>
      </c>
      <c r="M180" s="2">
        <v>2255.7199999999998</v>
      </c>
      <c r="N180" s="2">
        <v>3743.9</v>
      </c>
      <c r="O180" s="2">
        <v>2025</v>
      </c>
      <c r="P180">
        <v>927737</v>
      </c>
      <c r="Q180">
        <v>52613</v>
      </c>
    </row>
    <row r="181" spans="1:17" x14ac:dyDescent="0.35">
      <c r="A181" s="1">
        <v>45729</v>
      </c>
      <c r="B181" s="1" t="str">
        <f t="shared" si="8"/>
        <v>Thursday</v>
      </c>
      <c r="C181" s="1" t="str">
        <f t="shared" si="9"/>
        <v>March</v>
      </c>
      <c r="D181" s="1" t="str">
        <f t="shared" si="10"/>
        <v>Q1</v>
      </c>
      <c r="E181" s="1" t="str">
        <f t="shared" si="11"/>
        <v>2025</v>
      </c>
      <c r="F181" t="s">
        <v>13</v>
      </c>
      <c r="G181" s="2">
        <v>2249</v>
      </c>
      <c r="H181" s="2">
        <v>2273</v>
      </c>
      <c r="I181" s="2">
        <v>2215.6</v>
      </c>
      <c r="J181" s="2">
        <v>2241.8000000000002</v>
      </c>
      <c r="K181" s="2">
        <v>2222.4499999999998</v>
      </c>
      <c r="L181" s="2">
        <v>2221.1</v>
      </c>
      <c r="M181" s="2">
        <v>2237.9</v>
      </c>
      <c r="N181" s="2">
        <v>3743.9</v>
      </c>
      <c r="O181" s="2">
        <v>2025</v>
      </c>
      <c r="P181">
        <v>750310</v>
      </c>
      <c r="Q181">
        <v>52311</v>
      </c>
    </row>
    <row r="182" spans="1:17" x14ac:dyDescent="0.35">
      <c r="A182" s="1">
        <v>45728</v>
      </c>
      <c r="B182" s="1" t="str">
        <f t="shared" si="8"/>
        <v>Wednesday</v>
      </c>
      <c r="C182" s="1" t="str">
        <f t="shared" si="9"/>
        <v>March</v>
      </c>
      <c r="D182" s="1" t="str">
        <f t="shared" si="10"/>
        <v>Q1</v>
      </c>
      <c r="E182" s="1" t="str">
        <f t="shared" si="11"/>
        <v>2025</v>
      </c>
      <c r="F182" t="s">
        <v>13</v>
      </c>
      <c r="G182" s="2">
        <v>2270</v>
      </c>
      <c r="H182" s="2">
        <v>2280</v>
      </c>
      <c r="I182" s="2">
        <v>2180.9499999999998</v>
      </c>
      <c r="J182" s="2">
        <v>2250.6</v>
      </c>
      <c r="K182" s="2">
        <v>2236</v>
      </c>
      <c r="L182" s="2">
        <v>2241.8000000000002</v>
      </c>
      <c r="M182" s="2">
        <v>2230.69</v>
      </c>
      <c r="N182" s="2">
        <v>3743.9</v>
      </c>
      <c r="O182" s="2">
        <v>2025</v>
      </c>
      <c r="P182">
        <v>1049076</v>
      </c>
      <c r="Q182">
        <v>56794</v>
      </c>
    </row>
    <row r="183" spans="1:17" x14ac:dyDescent="0.35">
      <c r="A183" s="1">
        <v>45727</v>
      </c>
      <c r="B183" s="1" t="str">
        <f t="shared" si="8"/>
        <v>Tuesday</v>
      </c>
      <c r="C183" s="1" t="str">
        <f t="shared" si="9"/>
        <v>March</v>
      </c>
      <c r="D183" s="1" t="str">
        <f t="shared" si="10"/>
        <v>Q1</v>
      </c>
      <c r="E183" s="1" t="str">
        <f t="shared" si="11"/>
        <v>2025</v>
      </c>
      <c r="F183" t="s">
        <v>13</v>
      </c>
      <c r="G183" s="2">
        <v>2223.15</v>
      </c>
      <c r="H183" s="2">
        <v>2267.85</v>
      </c>
      <c r="I183" s="2">
        <v>2208.3000000000002</v>
      </c>
      <c r="J183" s="2">
        <v>2228.3000000000002</v>
      </c>
      <c r="K183" s="2">
        <v>2252.65</v>
      </c>
      <c r="L183" s="2">
        <v>2250.6</v>
      </c>
      <c r="M183" s="2">
        <v>2251.19</v>
      </c>
      <c r="N183" s="2">
        <v>3743.9</v>
      </c>
      <c r="O183" s="2">
        <v>2025</v>
      </c>
      <c r="P183">
        <v>947079</v>
      </c>
      <c r="Q183">
        <v>54661</v>
      </c>
    </row>
    <row r="184" spans="1:17" x14ac:dyDescent="0.35">
      <c r="A184" s="1">
        <v>45726</v>
      </c>
      <c r="B184" s="1" t="str">
        <f t="shared" si="8"/>
        <v>Monday</v>
      </c>
      <c r="C184" s="1" t="str">
        <f t="shared" si="9"/>
        <v>March</v>
      </c>
      <c r="D184" s="1" t="str">
        <f t="shared" si="10"/>
        <v>Q1</v>
      </c>
      <c r="E184" s="1" t="str">
        <f t="shared" si="11"/>
        <v>2025</v>
      </c>
      <c r="F184" t="s">
        <v>13</v>
      </c>
      <c r="G184" s="2">
        <v>2245</v>
      </c>
      <c r="H184" s="2">
        <v>2288</v>
      </c>
      <c r="I184" s="2">
        <v>2220</v>
      </c>
      <c r="J184" s="2">
        <v>2247.5</v>
      </c>
      <c r="K184" s="2">
        <v>2224.4</v>
      </c>
      <c r="L184" s="2">
        <v>2228.3000000000002</v>
      </c>
      <c r="M184" s="2">
        <v>2258.17</v>
      </c>
      <c r="N184" s="2">
        <v>3743.9</v>
      </c>
      <c r="O184" s="2">
        <v>2025</v>
      </c>
      <c r="P184">
        <v>940113</v>
      </c>
      <c r="Q184">
        <v>57381</v>
      </c>
    </row>
    <row r="185" spans="1:17" x14ac:dyDescent="0.35">
      <c r="A185" s="1">
        <v>45723</v>
      </c>
      <c r="B185" s="1" t="str">
        <f t="shared" si="8"/>
        <v>Friday</v>
      </c>
      <c r="C185" s="1" t="str">
        <f t="shared" si="9"/>
        <v>March</v>
      </c>
      <c r="D185" s="1" t="str">
        <f t="shared" si="10"/>
        <v>Q1</v>
      </c>
      <c r="E185" s="1" t="str">
        <f t="shared" si="11"/>
        <v>2025</v>
      </c>
      <c r="F185" t="s">
        <v>13</v>
      </c>
      <c r="G185" s="2">
        <v>2249.9499999999998</v>
      </c>
      <c r="H185" s="2">
        <v>2267.65</v>
      </c>
      <c r="I185" s="2">
        <v>2227</v>
      </c>
      <c r="J185" s="2">
        <v>2252.85</v>
      </c>
      <c r="K185" s="2">
        <v>2249.5</v>
      </c>
      <c r="L185" s="2">
        <v>2247.5</v>
      </c>
      <c r="M185" s="2">
        <v>2247.94</v>
      </c>
      <c r="N185" s="2">
        <v>3743.9</v>
      </c>
      <c r="O185" s="2">
        <v>2025</v>
      </c>
      <c r="P185">
        <v>818806</v>
      </c>
      <c r="Q185">
        <v>44934</v>
      </c>
    </row>
    <row r="186" spans="1:17" x14ac:dyDescent="0.35">
      <c r="A186" s="1">
        <v>45722</v>
      </c>
      <c r="B186" s="1" t="str">
        <f t="shared" si="8"/>
        <v>Thursday</v>
      </c>
      <c r="C186" s="1" t="str">
        <f t="shared" si="9"/>
        <v>March</v>
      </c>
      <c r="D186" s="1" t="str">
        <f t="shared" si="10"/>
        <v>Q1</v>
      </c>
      <c r="E186" s="1" t="str">
        <f t="shared" si="11"/>
        <v>2025</v>
      </c>
      <c r="F186" t="s">
        <v>13</v>
      </c>
      <c r="G186" s="2">
        <v>2260</v>
      </c>
      <c r="H186" s="2">
        <v>2268.9</v>
      </c>
      <c r="I186" s="2">
        <v>2226.15</v>
      </c>
      <c r="J186" s="2">
        <v>2245.85</v>
      </c>
      <c r="K186" s="2">
        <v>2251</v>
      </c>
      <c r="L186" s="2">
        <v>2252.85</v>
      </c>
      <c r="M186" s="2">
        <v>2250.92</v>
      </c>
      <c r="N186" s="2">
        <v>3743.9</v>
      </c>
      <c r="O186" s="2">
        <v>2025</v>
      </c>
      <c r="P186">
        <v>890270</v>
      </c>
      <c r="Q186">
        <v>81763</v>
      </c>
    </row>
    <row r="187" spans="1:17" x14ac:dyDescent="0.35">
      <c r="A187" s="1">
        <v>45721</v>
      </c>
      <c r="B187" s="1" t="str">
        <f t="shared" si="8"/>
        <v>Wednesday</v>
      </c>
      <c r="C187" s="1" t="str">
        <f t="shared" si="9"/>
        <v>March</v>
      </c>
      <c r="D187" s="1" t="str">
        <f t="shared" si="10"/>
        <v>Q1</v>
      </c>
      <c r="E187" s="1" t="str">
        <f t="shared" si="11"/>
        <v>2025</v>
      </c>
      <c r="F187" t="s">
        <v>13</v>
      </c>
      <c r="G187" s="2">
        <v>2153.9499999999998</v>
      </c>
      <c r="H187" s="2">
        <v>2258.4</v>
      </c>
      <c r="I187" s="2">
        <v>2148.0500000000002</v>
      </c>
      <c r="J187" s="2">
        <v>2144.8000000000002</v>
      </c>
      <c r="K187" s="2">
        <v>2242</v>
      </c>
      <c r="L187" s="2">
        <v>2245.85</v>
      </c>
      <c r="M187" s="2">
        <v>2219.6</v>
      </c>
      <c r="N187" s="2">
        <v>3743.9</v>
      </c>
      <c r="O187" s="2">
        <v>2025</v>
      </c>
      <c r="P187">
        <v>1370106</v>
      </c>
      <c r="Q187">
        <v>81480</v>
      </c>
    </row>
    <row r="188" spans="1:17" x14ac:dyDescent="0.35">
      <c r="A188" s="1">
        <v>45720</v>
      </c>
      <c r="B188" s="1" t="str">
        <f t="shared" si="8"/>
        <v>Tuesday</v>
      </c>
      <c r="C188" s="1" t="str">
        <f t="shared" si="9"/>
        <v>March</v>
      </c>
      <c r="D188" s="1" t="str">
        <f t="shared" si="10"/>
        <v>Q1</v>
      </c>
      <c r="E188" s="1" t="str">
        <f t="shared" si="11"/>
        <v>2025</v>
      </c>
      <c r="F188" t="s">
        <v>13</v>
      </c>
      <c r="G188" s="2">
        <v>2085.1</v>
      </c>
      <c r="H188" s="2">
        <v>2154</v>
      </c>
      <c r="I188" s="2">
        <v>2080</v>
      </c>
      <c r="J188" s="2">
        <v>2117.1</v>
      </c>
      <c r="K188" s="2">
        <v>2147.6</v>
      </c>
      <c r="L188" s="2">
        <v>2144.8000000000002</v>
      </c>
      <c r="M188" s="2">
        <v>2133.91</v>
      </c>
      <c r="N188" s="2">
        <v>3743.9</v>
      </c>
      <c r="O188" s="2">
        <v>2025</v>
      </c>
      <c r="P188">
        <v>852978</v>
      </c>
      <c r="Q188">
        <v>56864</v>
      </c>
    </row>
    <row r="189" spans="1:17" x14ac:dyDescent="0.35">
      <c r="A189" s="1">
        <v>45719</v>
      </c>
      <c r="B189" s="1" t="str">
        <f t="shared" si="8"/>
        <v>Monday</v>
      </c>
      <c r="C189" s="1" t="str">
        <f t="shared" si="9"/>
        <v>March</v>
      </c>
      <c r="D189" s="1" t="str">
        <f t="shared" si="10"/>
        <v>Q1</v>
      </c>
      <c r="E189" s="1" t="str">
        <f t="shared" si="11"/>
        <v>2025</v>
      </c>
      <c r="F189" t="s">
        <v>13</v>
      </c>
      <c r="G189" s="2">
        <v>2109</v>
      </c>
      <c r="H189" s="2">
        <v>2127.25</v>
      </c>
      <c r="I189" s="2">
        <v>2026.55</v>
      </c>
      <c r="J189" s="2">
        <v>2096</v>
      </c>
      <c r="K189" s="2">
        <v>2122</v>
      </c>
      <c r="L189" s="2">
        <v>2117.1</v>
      </c>
      <c r="M189" s="2">
        <v>2078.96</v>
      </c>
      <c r="N189" s="2">
        <v>3743.9</v>
      </c>
      <c r="O189" s="2">
        <v>2025</v>
      </c>
      <c r="P189">
        <v>1592611</v>
      </c>
      <c r="Q189">
        <v>105782</v>
      </c>
    </row>
    <row r="190" spans="1:17" x14ac:dyDescent="0.35">
      <c r="A190" s="1">
        <v>45716</v>
      </c>
      <c r="B190" s="1" t="str">
        <f t="shared" si="8"/>
        <v>Friday</v>
      </c>
      <c r="C190" s="1" t="str">
        <f t="shared" si="9"/>
        <v>February</v>
      </c>
      <c r="D190" s="1" t="str">
        <f t="shared" si="10"/>
        <v>Q1</v>
      </c>
      <c r="E190" s="1" t="str">
        <f t="shared" si="11"/>
        <v>2025</v>
      </c>
      <c r="F190" t="s">
        <v>13</v>
      </c>
      <c r="G190" s="2">
        <v>2107</v>
      </c>
      <c r="H190" s="2">
        <v>2111.35</v>
      </c>
      <c r="I190" s="2">
        <v>2072</v>
      </c>
      <c r="J190" s="2">
        <v>2110.9499999999998</v>
      </c>
      <c r="K190" s="2">
        <v>2097.5500000000002</v>
      </c>
      <c r="L190" s="2">
        <v>2096</v>
      </c>
      <c r="M190" s="2">
        <v>2093.84</v>
      </c>
      <c r="N190" s="2">
        <v>3743.9</v>
      </c>
      <c r="O190" s="2">
        <v>2025</v>
      </c>
      <c r="P190">
        <v>2373922</v>
      </c>
      <c r="Q190">
        <v>99109</v>
      </c>
    </row>
    <row r="191" spans="1:17" x14ac:dyDescent="0.35">
      <c r="A191" s="1">
        <v>45715</v>
      </c>
      <c r="B191" s="1" t="str">
        <f t="shared" si="8"/>
        <v>Thursday</v>
      </c>
      <c r="C191" s="1" t="str">
        <f t="shared" si="9"/>
        <v>February</v>
      </c>
      <c r="D191" s="1" t="str">
        <f t="shared" si="10"/>
        <v>Q1</v>
      </c>
      <c r="E191" s="1" t="str">
        <f t="shared" si="11"/>
        <v>2025</v>
      </c>
      <c r="F191" t="s">
        <v>13</v>
      </c>
      <c r="G191" s="2">
        <v>2143.75</v>
      </c>
      <c r="H191" s="2">
        <v>2149.1</v>
      </c>
      <c r="I191" s="2">
        <v>2102.5</v>
      </c>
      <c r="J191" s="2">
        <v>2129.85</v>
      </c>
      <c r="K191" s="2">
        <v>2108</v>
      </c>
      <c r="L191" s="2">
        <v>2110.9499999999998</v>
      </c>
      <c r="M191" s="2">
        <v>2122.6</v>
      </c>
      <c r="N191" s="2">
        <v>3743.9</v>
      </c>
      <c r="O191" s="2">
        <v>2025</v>
      </c>
      <c r="P191">
        <v>941950</v>
      </c>
      <c r="Q191">
        <v>63169</v>
      </c>
    </row>
    <row r="192" spans="1:17" x14ac:dyDescent="0.35">
      <c r="A192" s="1">
        <v>45713</v>
      </c>
      <c r="B192" s="1" t="str">
        <f t="shared" si="8"/>
        <v>Tuesday</v>
      </c>
      <c r="C192" s="1" t="str">
        <f t="shared" si="9"/>
        <v>February</v>
      </c>
      <c r="D192" s="1" t="str">
        <f t="shared" si="10"/>
        <v>Q1</v>
      </c>
      <c r="E192" s="1" t="str">
        <f t="shared" si="11"/>
        <v>2025</v>
      </c>
      <c r="F192" t="s">
        <v>13</v>
      </c>
      <c r="G192" s="2">
        <v>2115.15</v>
      </c>
      <c r="H192" s="2">
        <v>2158.3000000000002</v>
      </c>
      <c r="I192" s="2">
        <v>2102</v>
      </c>
      <c r="J192" s="2">
        <v>2115.15</v>
      </c>
      <c r="K192" s="2">
        <v>2130</v>
      </c>
      <c r="L192" s="2">
        <v>2129.85</v>
      </c>
      <c r="M192" s="2">
        <v>2137.5500000000002</v>
      </c>
      <c r="N192" s="2">
        <v>3743.9</v>
      </c>
      <c r="O192" s="2">
        <v>2025</v>
      </c>
      <c r="P192">
        <v>802131</v>
      </c>
      <c r="Q192">
        <v>56102</v>
      </c>
    </row>
    <row r="193" spans="1:17" x14ac:dyDescent="0.35">
      <c r="A193" s="1">
        <v>45712</v>
      </c>
      <c r="B193" s="1" t="str">
        <f t="shared" si="8"/>
        <v>Monday</v>
      </c>
      <c r="C193" s="1" t="str">
        <f t="shared" si="9"/>
        <v>February</v>
      </c>
      <c r="D193" s="1" t="str">
        <f t="shared" si="10"/>
        <v>Q1</v>
      </c>
      <c r="E193" s="1" t="str">
        <f t="shared" si="11"/>
        <v>2025</v>
      </c>
      <c r="F193" t="s">
        <v>13</v>
      </c>
      <c r="G193" s="2">
        <v>2128.9499999999998</v>
      </c>
      <c r="H193" s="2">
        <v>2138.5</v>
      </c>
      <c r="I193" s="2">
        <v>2096.6999999999998</v>
      </c>
      <c r="J193" s="2">
        <v>2133.1</v>
      </c>
      <c r="K193" s="2">
        <v>2114.9</v>
      </c>
      <c r="L193" s="2">
        <v>2115.15</v>
      </c>
      <c r="M193" s="2">
        <v>2116.2199999999998</v>
      </c>
      <c r="N193" s="2">
        <v>3743.9</v>
      </c>
      <c r="O193" s="2">
        <v>2025</v>
      </c>
      <c r="P193">
        <v>1032294</v>
      </c>
      <c r="Q193">
        <v>73399</v>
      </c>
    </row>
    <row r="194" spans="1:17" x14ac:dyDescent="0.35">
      <c r="A194" s="1">
        <v>45709</v>
      </c>
      <c r="B194" s="1" t="str">
        <f t="shared" si="8"/>
        <v>Friday</v>
      </c>
      <c r="C194" s="1" t="str">
        <f t="shared" si="9"/>
        <v>February</v>
      </c>
      <c r="D194" s="1" t="str">
        <f t="shared" si="10"/>
        <v>Q1</v>
      </c>
      <c r="E194" s="1" t="str">
        <f t="shared" si="11"/>
        <v>2025</v>
      </c>
      <c r="F194" t="s">
        <v>13</v>
      </c>
      <c r="G194" s="2">
        <v>2190.4499999999998</v>
      </c>
      <c r="H194" s="2">
        <v>2199.6</v>
      </c>
      <c r="I194" s="2">
        <v>2116.85</v>
      </c>
      <c r="J194" s="2">
        <v>2179</v>
      </c>
      <c r="K194" s="2">
        <v>2125</v>
      </c>
      <c r="L194" s="2">
        <v>2133.1</v>
      </c>
      <c r="M194" s="2">
        <v>2152.2399999999998</v>
      </c>
      <c r="N194" s="2">
        <v>3743.9</v>
      </c>
      <c r="O194" s="2">
        <v>2025</v>
      </c>
      <c r="P194">
        <v>1540308</v>
      </c>
      <c r="Q194">
        <v>85375</v>
      </c>
    </row>
    <row r="195" spans="1:17" x14ac:dyDescent="0.35">
      <c r="A195" s="1">
        <v>45708</v>
      </c>
      <c r="B195" s="1" t="str">
        <f t="shared" ref="B195:B251" si="12">TEXT(A195,"DDDD")</f>
        <v>Thursday</v>
      </c>
      <c r="C195" s="1" t="str">
        <f t="shared" ref="C195:C251" si="13">TEXT(A195,"MMMM")</f>
        <v>February</v>
      </c>
      <c r="D195" s="1" t="str">
        <f t="shared" ref="D195:D251" si="14">"Q"&amp;ROUNDUP(MONTH(A195)/3,0)</f>
        <v>Q1</v>
      </c>
      <c r="E195" s="1" t="str">
        <f t="shared" ref="E195:E251" si="15">TEXT(A195,"YYYY")</f>
        <v>2025</v>
      </c>
      <c r="F195" t="s">
        <v>13</v>
      </c>
      <c r="G195" s="2">
        <v>2180.8000000000002</v>
      </c>
      <c r="H195" s="2">
        <v>2216.35</v>
      </c>
      <c r="I195" s="2">
        <v>2156.8000000000002</v>
      </c>
      <c r="J195" s="2">
        <v>2180.8000000000002</v>
      </c>
      <c r="K195" s="2">
        <v>2178</v>
      </c>
      <c r="L195" s="2">
        <v>2179</v>
      </c>
      <c r="M195" s="2">
        <v>2187.58</v>
      </c>
      <c r="N195" s="2">
        <v>3743.9</v>
      </c>
      <c r="O195" s="2">
        <v>2025</v>
      </c>
      <c r="P195">
        <v>1086670</v>
      </c>
      <c r="Q195">
        <v>74127</v>
      </c>
    </row>
    <row r="196" spans="1:17" x14ac:dyDescent="0.35">
      <c r="A196" s="1">
        <v>45707</v>
      </c>
      <c r="B196" s="1" t="str">
        <f t="shared" si="12"/>
        <v>Wednesday</v>
      </c>
      <c r="C196" s="1" t="str">
        <f t="shared" si="13"/>
        <v>February</v>
      </c>
      <c r="D196" s="1" t="str">
        <f t="shared" si="14"/>
        <v>Q1</v>
      </c>
      <c r="E196" s="1" t="str">
        <f t="shared" si="15"/>
        <v>2025</v>
      </c>
      <c r="F196" t="s">
        <v>13</v>
      </c>
      <c r="G196" s="2">
        <v>2166</v>
      </c>
      <c r="H196" s="2">
        <v>2219.4</v>
      </c>
      <c r="I196" s="2">
        <v>2127</v>
      </c>
      <c r="J196" s="2">
        <v>2220.3000000000002</v>
      </c>
      <c r="K196" s="2">
        <v>2177</v>
      </c>
      <c r="L196" s="2">
        <v>2180.8000000000002</v>
      </c>
      <c r="M196" s="2">
        <v>2187.5100000000002</v>
      </c>
      <c r="N196" s="2">
        <v>3743.9</v>
      </c>
      <c r="O196" s="2">
        <v>2025</v>
      </c>
      <c r="P196">
        <v>1203163</v>
      </c>
      <c r="Q196">
        <v>77627</v>
      </c>
    </row>
    <row r="197" spans="1:17" x14ac:dyDescent="0.35">
      <c r="A197" s="1">
        <v>45706</v>
      </c>
      <c r="B197" s="1" t="str">
        <f t="shared" si="12"/>
        <v>Tuesday</v>
      </c>
      <c r="C197" s="1" t="str">
        <f t="shared" si="13"/>
        <v>February</v>
      </c>
      <c r="D197" s="1" t="str">
        <f t="shared" si="14"/>
        <v>Q1</v>
      </c>
      <c r="E197" s="1" t="str">
        <f t="shared" si="15"/>
        <v>2025</v>
      </c>
      <c r="F197" t="s">
        <v>13</v>
      </c>
      <c r="G197" s="2">
        <v>2240</v>
      </c>
      <c r="H197" s="2">
        <v>2240</v>
      </c>
      <c r="I197" s="2">
        <v>2166.0500000000002</v>
      </c>
      <c r="J197" s="2">
        <v>2223.6999999999998</v>
      </c>
      <c r="K197" s="2">
        <v>2213.0500000000002</v>
      </c>
      <c r="L197" s="2">
        <v>2220.3000000000002</v>
      </c>
      <c r="M197" s="2">
        <v>2199.31</v>
      </c>
      <c r="N197" s="2">
        <v>3743.9</v>
      </c>
      <c r="O197" s="2">
        <v>2025</v>
      </c>
      <c r="P197">
        <v>1138090</v>
      </c>
      <c r="Q197">
        <v>75933</v>
      </c>
    </row>
    <row r="198" spans="1:17" x14ac:dyDescent="0.35">
      <c r="A198" s="1">
        <v>45705</v>
      </c>
      <c r="B198" s="1" t="str">
        <f t="shared" si="12"/>
        <v>Monday</v>
      </c>
      <c r="C198" s="1" t="str">
        <f t="shared" si="13"/>
        <v>February</v>
      </c>
      <c r="D198" s="1" t="str">
        <f t="shared" si="14"/>
        <v>Q1</v>
      </c>
      <c r="E198" s="1" t="str">
        <f t="shared" si="15"/>
        <v>2025</v>
      </c>
      <c r="F198" t="s">
        <v>13</v>
      </c>
      <c r="G198" s="2">
        <v>2152.65</v>
      </c>
      <c r="H198" s="2">
        <v>2240.4</v>
      </c>
      <c r="I198" s="2">
        <v>2110.65</v>
      </c>
      <c r="J198" s="2">
        <v>2152.65</v>
      </c>
      <c r="K198" s="2">
        <v>2237.3000000000002</v>
      </c>
      <c r="L198" s="2">
        <v>2223.6999999999998</v>
      </c>
      <c r="M198" s="2">
        <v>2180.52</v>
      </c>
      <c r="N198" s="2">
        <v>3743.9</v>
      </c>
      <c r="O198" s="2">
        <v>2025</v>
      </c>
      <c r="P198">
        <v>1400160</v>
      </c>
      <c r="Q198">
        <v>101955</v>
      </c>
    </row>
    <row r="199" spans="1:17" x14ac:dyDescent="0.35">
      <c r="A199" s="1">
        <v>45702</v>
      </c>
      <c r="B199" s="1" t="str">
        <f t="shared" si="12"/>
        <v>Friday</v>
      </c>
      <c r="C199" s="1" t="str">
        <f t="shared" si="13"/>
        <v>February</v>
      </c>
      <c r="D199" s="1" t="str">
        <f t="shared" si="14"/>
        <v>Q1</v>
      </c>
      <c r="E199" s="1" t="str">
        <f t="shared" si="15"/>
        <v>2025</v>
      </c>
      <c r="F199" t="s">
        <v>13</v>
      </c>
      <c r="G199" s="2">
        <v>2245.6999999999998</v>
      </c>
      <c r="H199" s="2">
        <v>2249.3000000000002</v>
      </c>
      <c r="I199" s="2">
        <v>2124.5500000000002</v>
      </c>
      <c r="J199" s="2">
        <v>2244.6999999999998</v>
      </c>
      <c r="K199" s="2">
        <v>2149</v>
      </c>
      <c r="L199" s="2">
        <v>2152.65</v>
      </c>
      <c r="M199" s="2">
        <v>2173.4299999999998</v>
      </c>
      <c r="N199" s="2">
        <v>3743.9</v>
      </c>
      <c r="O199" s="2">
        <v>2025</v>
      </c>
      <c r="P199">
        <v>2550043</v>
      </c>
      <c r="Q199">
        <v>151036</v>
      </c>
    </row>
    <row r="200" spans="1:17" x14ac:dyDescent="0.35">
      <c r="A200" s="1">
        <v>45701</v>
      </c>
      <c r="B200" s="1" t="str">
        <f t="shared" si="12"/>
        <v>Thursday</v>
      </c>
      <c r="C200" s="1" t="str">
        <f t="shared" si="13"/>
        <v>February</v>
      </c>
      <c r="D200" s="1" t="str">
        <f t="shared" si="14"/>
        <v>Q1</v>
      </c>
      <c r="E200" s="1" t="str">
        <f t="shared" si="15"/>
        <v>2025</v>
      </c>
      <c r="F200" t="s">
        <v>13</v>
      </c>
      <c r="G200" s="2">
        <v>2354</v>
      </c>
      <c r="H200" s="2">
        <v>2372.75</v>
      </c>
      <c r="I200" s="2">
        <v>2233.4</v>
      </c>
      <c r="J200" s="2">
        <v>2353.4499999999998</v>
      </c>
      <c r="K200" s="2">
        <v>2237.4499999999998</v>
      </c>
      <c r="L200" s="2">
        <v>2244.6999999999998</v>
      </c>
      <c r="M200" s="2">
        <v>2296.1999999999998</v>
      </c>
      <c r="N200" s="2">
        <v>3743.9</v>
      </c>
      <c r="O200" s="2">
        <v>2025</v>
      </c>
      <c r="P200">
        <v>2551940</v>
      </c>
      <c r="Q200">
        <v>133317</v>
      </c>
    </row>
    <row r="201" spans="1:17" x14ac:dyDescent="0.35">
      <c r="A201" s="1">
        <v>45700</v>
      </c>
      <c r="B201" s="1" t="str">
        <f t="shared" si="12"/>
        <v>Wednesday</v>
      </c>
      <c r="C201" s="1" t="str">
        <f t="shared" si="13"/>
        <v>February</v>
      </c>
      <c r="D201" s="1" t="str">
        <f t="shared" si="14"/>
        <v>Q1</v>
      </c>
      <c r="E201" s="1" t="str">
        <f t="shared" si="15"/>
        <v>2025</v>
      </c>
      <c r="F201" t="s">
        <v>13</v>
      </c>
      <c r="G201" s="2">
        <v>2325</v>
      </c>
      <c r="H201" s="2">
        <v>2378.4499999999998</v>
      </c>
      <c r="I201" s="2">
        <v>2281</v>
      </c>
      <c r="J201" s="2">
        <v>2321.75</v>
      </c>
      <c r="K201" s="2">
        <v>2357</v>
      </c>
      <c r="L201" s="2">
        <v>2353.4499999999998</v>
      </c>
      <c r="M201" s="2">
        <v>2330.04</v>
      </c>
      <c r="N201" s="2">
        <v>3743.9</v>
      </c>
      <c r="O201" s="2">
        <v>2025</v>
      </c>
      <c r="P201">
        <v>1933098</v>
      </c>
      <c r="Q201">
        <v>117486</v>
      </c>
    </row>
    <row r="202" spans="1:17" x14ac:dyDescent="0.35">
      <c r="A202" s="1">
        <v>45699</v>
      </c>
      <c r="B202" s="1" t="str">
        <f t="shared" si="12"/>
        <v>Tuesday</v>
      </c>
      <c r="C202" s="1" t="str">
        <f t="shared" si="13"/>
        <v>February</v>
      </c>
      <c r="D202" s="1" t="str">
        <f t="shared" si="14"/>
        <v>Q1</v>
      </c>
      <c r="E202" s="1" t="str">
        <f t="shared" si="15"/>
        <v>2025</v>
      </c>
      <c r="F202" t="s">
        <v>13</v>
      </c>
      <c r="G202" s="2">
        <v>2312</v>
      </c>
      <c r="H202" s="2">
        <v>2397</v>
      </c>
      <c r="I202" s="2">
        <v>2306</v>
      </c>
      <c r="J202" s="2">
        <v>2290.8000000000002</v>
      </c>
      <c r="K202" s="2">
        <v>2321</v>
      </c>
      <c r="L202" s="2">
        <v>2321.75</v>
      </c>
      <c r="M202" s="2">
        <v>2356.84</v>
      </c>
      <c r="N202" s="2">
        <v>3743.9</v>
      </c>
      <c r="O202" s="2">
        <v>2025</v>
      </c>
      <c r="P202">
        <v>4895456</v>
      </c>
      <c r="Q202">
        <v>217468</v>
      </c>
    </row>
    <row r="203" spans="1:17" x14ac:dyDescent="0.35">
      <c r="A203" s="1">
        <v>45698</v>
      </c>
      <c r="B203" s="1" t="str">
        <f t="shared" si="12"/>
        <v>Monday</v>
      </c>
      <c r="C203" s="1" t="str">
        <f t="shared" si="13"/>
        <v>February</v>
      </c>
      <c r="D203" s="1" t="str">
        <f t="shared" si="14"/>
        <v>Q1</v>
      </c>
      <c r="E203" s="1" t="str">
        <f t="shared" si="15"/>
        <v>2025</v>
      </c>
      <c r="F203" t="s">
        <v>13</v>
      </c>
      <c r="G203" s="2">
        <v>2350</v>
      </c>
      <c r="H203" s="2">
        <v>2350.9499999999998</v>
      </c>
      <c r="I203" s="2">
        <v>2280.1</v>
      </c>
      <c r="J203" s="2">
        <v>2338.8000000000002</v>
      </c>
      <c r="K203" s="2">
        <v>2287</v>
      </c>
      <c r="L203" s="2">
        <v>2290.8000000000002</v>
      </c>
      <c r="M203" s="2">
        <v>2299.96</v>
      </c>
      <c r="N203" s="2">
        <v>3743.9</v>
      </c>
      <c r="O203" s="2">
        <v>2025</v>
      </c>
      <c r="P203">
        <v>739708</v>
      </c>
      <c r="Q203">
        <v>48267</v>
      </c>
    </row>
    <row r="204" spans="1:17" x14ac:dyDescent="0.35">
      <c r="A204" s="1">
        <v>45695</v>
      </c>
      <c r="B204" s="1" t="str">
        <f t="shared" si="12"/>
        <v>Friday</v>
      </c>
      <c r="C204" s="1" t="str">
        <f t="shared" si="13"/>
        <v>February</v>
      </c>
      <c r="D204" s="1" t="str">
        <f t="shared" si="14"/>
        <v>Q1</v>
      </c>
      <c r="E204" s="1" t="str">
        <f t="shared" si="15"/>
        <v>2025</v>
      </c>
      <c r="F204" t="s">
        <v>13</v>
      </c>
      <c r="G204" s="2">
        <v>2312.4499999999998</v>
      </c>
      <c r="H204" s="2">
        <v>2374.9</v>
      </c>
      <c r="I204" s="2">
        <v>2307.35</v>
      </c>
      <c r="J204" s="2">
        <v>2312.4499999999998</v>
      </c>
      <c r="K204" s="2">
        <v>2340</v>
      </c>
      <c r="L204" s="2">
        <v>2338.8000000000002</v>
      </c>
      <c r="M204" s="2">
        <v>2340.71</v>
      </c>
      <c r="N204" s="2">
        <v>3743.9</v>
      </c>
      <c r="O204" s="2">
        <v>2025</v>
      </c>
      <c r="P204">
        <v>892900</v>
      </c>
      <c r="Q204">
        <v>65292</v>
      </c>
    </row>
    <row r="205" spans="1:17" x14ac:dyDescent="0.35">
      <c r="A205" s="1">
        <v>45694</v>
      </c>
      <c r="B205" s="1" t="str">
        <f t="shared" si="12"/>
        <v>Thursday</v>
      </c>
      <c r="C205" s="1" t="str">
        <f t="shared" si="13"/>
        <v>February</v>
      </c>
      <c r="D205" s="1" t="str">
        <f t="shared" si="14"/>
        <v>Q1</v>
      </c>
      <c r="E205" s="1" t="str">
        <f t="shared" si="15"/>
        <v>2025</v>
      </c>
      <c r="F205" t="s">
        <v>13</v>
      </c>
      <c r="G205" s="2">
        <v>2340</v>
      </c>
      <c r="H205" s="2">
        <v>2340</v>
      </c>
      <c r="I205" s="2">
        <v>2298.1999999999998</v>
      </c>
      <c r="J205" s="2">
        <v>2324.6</v>
      </c>
      <c r="K205" s="2">
        <v>2309</v>
      </c>
      <c r="L205" s="2">
        <v>2312.4499999999998</v>
      </c>
      <c r="M205" s="2">
        <v>2313.94</v>
      </c>
      <c r="N205" s="2">
        <v>3743.9</v>
      </c>
      <c r="O205" s="2">
        <v>2025</v>
      </c>
      <c r="P205">
        <v>680544</v>
      </c>
      <c r="Q205">
        <v>56800</v>
      </c>
    </row>
    <row r="206" spans="1:17" x14ac:dyDescent="0.35">
      <c r="A206" s="1">
        <v>45693</v>
      </c>
      <c r="B206" s="1" t="str">
        <f t="shared" si="12"/>
        <v>Wednesday</v>
      </c>
      <c r="C206" s="1" t="str">
        <f t="shared" si="13"/>
        <v>February</v>
      </c>
      <c r="D206" s="1" t="str">
        <f t="shared" si="14"/>
        <v>Q1</v>
      </c>
      <c r="E206" s="1" t="str">
        <f t="shared" si="15"/>
        <v>2025</v>
      </c>
      <c r="F206" t="s">
        <v>13</v>
      </c>
      <c r="G206" s="2">
        <v>2314.9499999999998</v>
      </c>
      <c r="H206" s="2">
        <v>2349.4</v>
      </c>
      <c r="I206" s="2">
        <v>2309.0500000000002</v>
      </c>
      <c r="J206" s="2">
        <v>2301.5</v>
      </c>
      <c r="K206" s="2">
        <v>2326.8000000000002</v>
      </c>
      <c r="L206" s="2">
        <v>2324.6</v>
      </c>
      <c r="M206" s="2">
        <v>2325.6</v>
      </c>
      <c r="N206" s="2">
        <v>3743.9</v>
      </c>
      <c r="O206" s="2">
        <v>2025</v>
      </c>
      <c r="P206">
        <v>560940</v>
      </c>
      <c r="Q206">
        <v>43537</v>
      </c>
    </row>
    <row r="207" spans="1:17" x14ac:dyDescent="0.35">
      <c r="A207" s="1">
        <v>45692</v>
      </c>
      <c r="B207" s="1" t="str">
        <f t="shared" si="12"/>
        <v>Tuesday</v>
      </c>
      <c r="C207" s="1" t="str">
        <f t="shared" si="13"/>
        <v>February</v>
      </c>
      <c r="D207" s="1" t="str">
        <f t="shared" si="14"/>
        <v>Q1</v>
      </c>
      <c r="E207" s="1" t="str">
        <f t="shared" si="15"/>
        <v>2025</v>
      </c>
      <c r="F207" t="s">
        <v>13</v>
      </c>
      <c r="G207" s="2">
        <v>2278.9</v>
      </c>
      <c r="H207" s="2">
        <v>2312</v>
      </c>
      <c r="I207" s="2">
        <v>2267.5500000000002</v>
      </c>
      <c r="J207" s="2">
        <v>2261.85</v>
      </c>
      <c r="K207" s="2">
        <v>2303.25</v>
      </c>
      <c r="L207" s="2">
        <v>2301.5</v>
      </c>
      <c r="M207" s="2">
        <v>2295.2600000000002</v>
      </c>
      <c r="N207" s="2">
        <v>3743.9</v>
      </c>
      <c r="O207" s="2">
        <v>2025</v>
      </c>
      <c r="P207">
        <v>691187</v>
      </c>
      <c r="Q207">
        <v>55343</v>
      </c>
    </row>
    <row r="208" spans="1:17" x14ac:dyDescent="0.35">
      <c r="A208" s="1">
        <v>45691</v>
      </c>
      <c r="B208" s="1" t="str">
        <f t="shared" si="12"/>
        <v>Monday</v>
      </c>
      <c r="C208" s="1" t="str">
        <f t="shared" si="13"/>
        <v>February</v>
      </c>
      <c r="D208" s="1" t="str">
        <f t="shared" si="14"/>
        <v>Q1</v>
      </c>
      <c r="E208" s="1" t="str">
        <f t="shared" si="15"/>
        <v>2025</v>
      </c>
      <c r="F208" t="s">
        <v>13</v>
      </c>
      <c r="G208" s="2">
        <v>2266.75</v>
      </c>
      <c r="H208" s="2">
        <v>2279</v>
      </c>
      <c r="I208" s="2">
        <v>2213.9</v>
      </c>
      <c r="J208" s="2">
        <v>2270</v>
      </c>
      <c r="K208" s="2">
        <v>2266.9</v>
      </c>
      <c r="L208" s="2">
        <v>2261.85</v>
      </c>
      <c r="M208" s="2">
        <v>2247.6</v>
      </c>
      <c r="N208" s="2">
        <v>3743.9</v>
      </c>
      <c r="O208" s="2">
        <v>2025</v>
      </c>
      <c r="P208">
        <v>824942</v>
      </c>
      <c r="Q208">
        <v>63131</v>
      </c>
    </row>
    <row r="209" spans="1:17" x14ac:dyDescent="0.35">
      <c r="A209" s="1">
        <v>45689</v>
      </c>
      <c r="B209" s="1" t="str">
        <f t="shared" si="12"/>
        <v>Saturday</v>
      </c>
      <c r="C209" s="1" t="str">
        <f t="shared" si="13"/>
        <v>February</v>
      </c>
      <c r="D209" s="1" t="str">
        <f t="shared" si="14"/>
        <v>Q1</v>
      </c>
      <c r="E209" s="1" t="str">
        <f t="shared" si="15"/>
        <v>2025</v>
      </c>
      <c r="F209" t="s">
        <v>13</v>
      </c>
      <c r="G209" s="2">
        <v>2297</v>
      </c>
      <c r="H209" s="2">
        <v>2351.4499999999998</v>
      </c>
      <c r="I209" s="2">
        <v>2237.5500000000002</v>
      </c>
      <c r="J209" s="2">
        <v>2287.8000000000002</v>
      </c>
      <c r="K209" s="2">
        <v>2269.9499999999998</v>
      </c>
      <c r="L209" s="2">
        <v>2270</v>
      </c>
      <c r="M209" s="2">
        <v>2290.9899999999998</v>
      </c>
      <c r="N209" s="2">
        <v>3743.9</v>
      </c>
      <c r="O209" s="2">
        <v>2025</v>
      </c>
      <c r="P209">
        <v>987362</v>
      </c>
      <c r="Q209">
        <v>60333</v>
      </c>
    </row>
    <row r="210" spans="1:17" x14ac:dyDescent="0.35">
      <c r="A210" s="1">
        <v>45688</v>
      </c>
      <c r="B210" s="1" t="str">
        <f t="shared" si="12"/>
        <v>Friday</v>
      </c>
      <c r="C210" s="1" t="str">
        <f t="shared" si="13"/>
        <v>January</v>
      </c>
      <c r="D210" s="1" t="str">
        <f t="shared" si="14"/>
        <v>Q1</v>
      </c>
      <c r="E210" s="1" t="str">
        <f t="shared" si="15"/>
        <v>2025</v>
      </c>
      <c r="F210" t="s">
        <v>13</v>
      </c>
      <c r="G210" s="2">
        <v>2238.85</v>
      </c>
      <c r="H210" s="2">
        <v>2314.9499999999998</v>
      </c>
      <c r="I210" s="2">
        <v>2213.75</v>
      </c>
      <c r="J210" s="2">
        <v>2252.6</v>
      </c>
      <c r="K210" s="2">
        <v>2297</v>
      </c>
      <c r="L210" s="2">
        <v>2287.8000000000002</v>
      </c>
      <c r="M210" s="2">
        <v>2280.98</v>
      </c>
      <c r="N210" s="2">
        <v>3743.9</v>
      </c>
      <c r="O210" s="2">
        <v>2025</v>
      </c>
      <c r="P210">
        <v>2013345</v>
      </c>
      <c r="Q210">
        <v>96876</v>
      </c>
    </row>
    <row r="211" spans="1:17" x14ac:dyDescent="0.35">
      <c r="A211" s="1">
        <v>45687</v>
      </c>
      <c r="B211" s="1" t="str">
        <f t="shared" si="12"/>
        <v>Thursday</v>
      </c>
      <c r="C211" s="1" t="str">
        <f t="shared" si="13"/>
        <v>January</v>
      </c>
      <c r="D211" s="1" t="str">
        <f t="shared" si="14"/>
        <v>Q1</v>
      </c>
      <c r="E211" s="1" t="str">
        <f t="shared" si="15"/>
        <v>2025</v>
      </c>
      <c r="F211" t="s">
        <v>13</v>
      </c>
      <c r="G211" s="2">
        <v>2325</v>
      </c>
      <c r="H211" s="2">
        <v>2351.5</v>
      </c>
      <c r="I211" s="2">
        <v>2201.3000000000002</v>
      </c>
      <c r="J211" s="2">
        <v>2318.6</v>
      </c>
      <c r="K211" s="2">
        <v>2247.9</v>
      </c>
      <c r="L211" s="2">
        <v>2252.6</v>
      </c>
      <c r="M211" s="2">
        <v>2267.9299999999998</v>
      </c>
      <c r="N211" s="2">
        <v>3743.9</v>
      </c>
      <c r="O211" s="2">
        <v>2025</v>
      </c>
      <c r="P211">
        <v>2601625</v>
      </c>
      <c r="Q211">
        <v>146148</v>
      </c>
    </row>
    <row r="212" spans="1:17" x14ac:dyDescent="0.35">
      <c r="A212" s="1">
        <v>45686</v>
      </c>
      <c r="B212" s="1" t="str">
        <f t="shared" si="12"/>
        <v>Wednesday</v>
      </c>
      <c r="C212" s="1" t="str">
        <f t="shared" si="13"/>
        <v>January</v>
      </c>
      <c r="D212" s="1" t="str">
        <f t="shared" si="14"/>
        <v>Q1</v>
      </c>
      <c r="E212" s="1" t="str">
        <f t="shared" si="15"/>
        <v>2025</v>
      </c>
      <c r="F212" t="s">
        <v>13</v>
      </c>
      <c r="G212" s="2">
        <v>2297</v>
      </c>
      <c r="H212" s="2">
        <v>2326.25</v>
      </c>
      <c r="I212" s="2">
        <v>2282.6</v>
      </c>
      <c r="J212" s="2">
        <v>2286.0500000000002</v>
      </c>
      <c r="K212" s="2">
        <v>2321.8000000000002</v>
      </c>
      <c r="L212" s="2">
        <v>2318.6</v>
      </c>
      <c r="M212" s="2">
        <v>2311.65</v>
      </c>
      <c r="N212" s="2">
        <v>3743.9</v>
      </c>
      <c r="O212" s="2">
        <v>2025</v>
      </c>
      <c r="P212">
        <v>785220</v>
      </c>
      <c r="Q212">
        <v>54577</v>
      </c>
    </row>
    <row r="213" spans="1:17" x14ac:dyDescent="0.35">
      <c r="A213" s="1">
        <v>45685</v>
      </c>
      <c r="B213" s="1" t="str">
        <f t="shared" si="12"/>
        <v>Tuesday</v>
      </c>
      <c r="C213" s="1" t="str">
        <f t="shared" si="13"/>
        <v>January</v>
      </c>
      <c r="D213" s="1" t="str">
        <f t="shared" si="14"/>
        <v>Q1</v>
      </c>
      <c r="E213" s="1" t="str">
        <f t="shared" si="15"/>
        <v>2025</v>
      </c>
      <c r="F213" t="s">
        <v>13</v>
      </c>
      <c r="G213" s="2">
        <v>2274.1999999999998</v>
      </c>
      <c r="H213" s="2">
        <v>2315.85</v>
      </c>
      <c r="I213" s="2">
        <v>2242</v>
      </c>
      <c r="J213" s="2">
        <v>2259.6999999999998</v>
      </c>
      <c r="K213" s="2">
        <v>2293.5</v>
      </c>
      <c r="L213" s="2">
        <v>2286.0500000000002</v>
      </c>
      <c r="M213" s="2">
        <v>2280.67</v>
      </c>
      <c r="N213" s="2">
        <v>3743.9</v>
      </c>
      <c r="O213" s="2">
        <v>2025</v>
      </c>
      <c r="P213">
        <v>966497</v>
      </c>
      <c r="Q213">
        <v>68907</v>
      </c>
    </row>
    <row r="214" spans="1:17" x14ac:dyDescent="0.35">
      <c r="A214" s="1">
        <v>45684</v>
      </c>
      <c r="B214" s="1" t="str">
        <f t="shared" si="12"/>
        <v>Monday</v>
      </c>
      <c r="C214" s="1" t="str">
        <f t="shared" si="13"/>
        <v>January</v>
      </c>
      <c r="D214" s="1" t="str">
        <f t="shared" si="14"/>
        <v>Q1</v>
      </c>
      <c r="E214" s="1" t="str">
        <f t="shared" si="15"/>
        <v>2025</v>
      </c>
      <c r="F214" t="s">
        <v>13</v>
      </c>
      <c r="G214" s="2">
        <v>2310.0500000000002</v>
      </c>
      <c r="H214" s="2">
        <v>2318.1</v>
      </c>
      <c r="I214" s="2">
        <v>2250.0500000000002</v>
      </c>
      <c r="J214" s="2">
        <v>2315.1</v>
      </c>
      <c r="K214" s="2">
        <v>2259.0500000000002</v>
      </c>
      <c r="L214" s="2">
        <v>2259.6999999999998</v>
      </c>
      <c r="M214" s="2">
        <v>2283.92</v>
      </c>
      <c r="N214" s="2">
        <v>3743.9</v>
      </c>
      <c r="O214" s="2">
        <v>2025</v>
      </c>
      <c r="P214">
        <v>1032995</v>
      </c>
      <c r="Q214">
        <v>70412</v>
      </c>
    </row>
    <row r="215" spans="1:17" x14ac:dyDescent="0.35">
      <c r="A215" s="1">
        <v>45681</v>
      </c>
      <c r="B215" s="1" t="str">
        <f t="shared" si="12"/>
        <v>Friday</v>
      </c>
      <c r="C215" s="1" t="str">
        <f t="shared" si="13"/>
        <v>January</v>
      </c>
      <c r="D215" s="1" t="str">
        <f t="shared" si="14"/>
        <v>Q1</v>
      </c>
      <c r="E215" s="1" t="str">
        <f t="shared" si="15"/>
        <v>2025</v>
      </c>
      <c r="F215" t="s">
        <v>13</v>
      </c>
      <c r="G215" s="2">
        <v>2387.75</v>
      </c>
      <c r="H215" s="2">
        <v>2406</v>
      </c>
      <c r="I215" s="2">
        <v>2299.4</v>
      </c>
      <c r="J215" s="2">
        <v>2385</v>
      </c>
      <c r="K215" s="2">
        <v>2314.0500000000002</v>
      </c>
      <c r="L215" s="2">
        <v>2315.1</v>
      </c>
      <c r="M215" s="2">
        <v>2350.0500000000002</v>
      </c>
      <c r="N215" s="2">
        <v>3743.9</v>
      </c>
      <c r="O215" s="2">
        <v>2025</v>
      </c>
      <c r="P215">
        <v>1388583</v>
      </c>
      <c r="Q215">
        <v>82631</v>
      </c>
    </row>
    <row r="216" spans="1:17" x14ac:dyDescent="0.35">
      <c r="A216" s="1">
        <v>45680</v>
      </c>
      <c r="B216" s="1" t="str">
        <f t="shared" si="12"/>
        <v>Thursday</v>
      </c>
      <c r="C216" s="1" t="str">
        <f t="shared" si="13"/>
        <v>January</v>
      </c>
      <c r="D216" s="1" t="str">
        <f t="shared" si="14"/>
        <v>Q1</v>
      </c>
      <c r="E216" s="1" t="str">
        <f t="shared" si="15"/>
        <v>2025</v>
      </c>
      <c r="F216" t="s">
        <v>13</v>
      </c>
      <c r="G216" s="2">
        <v>2383</v>
      </c>
      <c r="H216" s="2">
        <v>2405.15</v>
      </c>
      <c r="I216" s="2">
        <v>2355</v>
      </c>
      <c r="J216" s="2">
        <v>2376.5500000000002</v>
      </c>
      <c r="K216" s="2">
        <v>2376.3000000000002</v>
      </c>
      <c r="L216" s="2">
        <v>2385</v>
      </c>
      <c r="M216" s="2">
        <v>2383.4699999999998</v>
      </c>
      <c r="N216" s="2">
        <v>3743.9</v>
      </c>
      <c r="O216" s="2">
        <v>2025</v>
      </c>
      <c r="P216">
        <v>826721</v>
      </c>
      <c r="Q216">
        <v>57688</v>
      </c>
    </row>
    <row r="217" spans="1:17" x14ac:dyDescent="0.35">
      <c r="A217" s="1">
        <v>45679</v>
      </c>
      <c r="B217" s="1" t="str">
        <f t="shared" si="12"/>
        <v>Wednesday</v>
      </c>
      <c r="C217" s="1" t="str">
        <f t="shared" si="13"/>
        <v>January</v>
      </c>
      <c r="D217" s="1" t="str">
        <f t="shared" si="14"/>
        <v>Q1</v>
      </c>
      <c r="E217" s="1" t="str">
        <f t="shared" si="15"/>
        <v>2025</v>
      </c>
      <c r="F217" t="s">
        <v>13</v>
      </c>
      <c r="G217" s="2">
        <v>2399</v>
      </c>
      <c r="H217" s="2">
        <v>2399</v>
      </c>
      <c r="I217" s="2">
        <v>2325.15</v>
      </c>
      <c r="J217" s="2">
        <v>2384.3000000000002</v>
      </c>
      <c r="K217" s="2">
        <v>2377</v>
      </c>
      <c r="L217" s="2">
        <v>2376.5500000000002</v>
      </c>
      <c r="M217" s="2">
        <v>2350.04</v>
      </c>
      <c r="N217" s="2">
        <v>3743.9</v>
      </c>
      <c r="O217" s="2">
        <v>2025</v>
      </c>
      <c r="P217">
        <v>1147334</v>
      </c>
      <c r="Q217">
        <v>70492</v>
      </c>
    </row>
    <row r="218" spans="1:17" x14ac:dyDescent="0.35">
      <c r="A218" s="1">
        <v>45678</v>
      </c>
      <c r="B218" s="1" t="str">
        <f t="shared" si="12"/>
        <v>Tuesday</v>
      </c>
      <c r="C218" s="1" t="str">
        <f t="shared" si="13"/>
        <v>January</v>
      </c>
      <c r="D218" s="1" t="str">
        <f t="shared" si="14"/>
        <v>Q1</v>
      </c>
      <c r="E218" s="1" t="str">
        <f t="shared" si="15"/>
        <v>2025</v>
      </c>
      <c r="F218" t="s">
        <v>13</v>
      </c>
      <c r="G218" s="2">
        <v>2441.75</v>
      </c>
      <c r="H218" s="2">
        <v>2441.75</v>
      </c>
      <c r="I218" s="2">
        <v>2373.65</v>
      </c>
      <c r="J218" s="2">
        <v>2442.8000000000002</v>
      </c>
      <c r="K218" s="2">
        <v>2375</v>
      </c>
      <c r="L218" s="2">
        <v>2384.3000000000002</v>
      </c>
      <c r="M218" s="2">
        <v>2398.89</v>
      </c>
      <c r="N218" s="2">
        <v>3743.9</v>
      </c>
      <c r="O218" s="2">
        <v>2025</v>
      </c>
      <c r="P218">
        <v>1206512</v>
      </c>
      <c r="Q218">
        <v>75686</v>
      </c>
    </row>
    <row r="219" spans="1:17" x14ac:dyDescent="0.35">
      <c r="A219" s="1">
        <v>45677</v>
      </c>
      <c r="B219" s="1" t="str">
        <f t="shared" si="12"/>
        <v>Monday</v>
      </c>
      <c r="C219" s="1" t="str">
        <f t="shared" si="13"/>
        <v>January</v>
      </c>
      <c r="D219" s="1" t="str">
        <f t="shared" si="14"/>
        <v>Q1</v>
      </c>
      <c r="E219" s="1" t="str">
        <f t="shared" si="15"/>
        <v>2025</v>
      </c>
      <c r="F219" t="s">
        <v>13</v>
      </c>
      <c r="G219" s="2">
        <v>2413.75</v>
      </c>
      <c r="H219" s="2">
        <v>2454</v>
      </c>
      <c r="I219" s="2">
        <v>2390</v>
      </c>
      <c r="J219" s="2">
        <v>2399.8000000000002</v>
      </c>
      <c r="K219" s="2">
        <v>2434.1</v>
      </c>
      <c r="L219" s="2">
        <v>2442.8000000000002</v>
      </c>
      <c r="M219" s="2">
        <v>2424.85</v>
      </c>
      <c r="N219" s="2">
        <v>3743.9</v>
      </c>
      <c r="O219" s="2">
        <v>2025</v>
      </c>
      <c r="P219">
        <v>1039435</v>
      </c>
      <c r="Q219">
        <v>62157</v>
      </c>
    </row>
    <row r="220" spans="1:17" x14ac:dyDescent="0.35">
      <c r="A220" s="1">
        <v>45674</v>
      </c>
      <c r="B220" s="1" t="str">
        <f t="shared" si="12"/>
        <v>Friday</v>
      </c>
      <c r="C220" s="1" t="str">
        <f t="shared" si="13"/>
        <v>January</v>
      </c>
      <c r="D220" s="1" t="str">
        <f t="shared" si="14"/>
        <v>Q1</v>
      </c>
      <c r="E220" s="1" t="str">
        <f t="shared" si="15"/>
        <v>2025</v>
      </c>
      <c r="F220" t="s">
        <v>13</v>
      </c>
      <c r="G220" s="2">
        <v>2450</v>
      </c>
      <c r="H220" s="2">
        <v>2450</v>
      </c>
      <c r="I220" s="2">
        <v>2380.0500000000002</v>
      </c>
      <c r="J220" s="2">
        <v>2427.85</v>
      </c>
      <c r="K220" s="2">
        <v>2399.5</v>
      </c>
      <c r="L220" s="2">
        <v>2399.8000000000002</v>
      </c>
      <c r="M220" s="2">
        <v>2404.16</v>
      </c>
      <c r="N220" s="2">
        <v>3743.9</v>
      </c>
      <c r="O220" s="2">
        <v>2025</v>
      </c>
      <c r="P220">
        <v>1122205</v>
      </c>
      <c r="Q220">
        <v>72852</v>
      </c>
    </row>
    <row r="221" spans="1:17" x14ac:dyDescent="0.35">
      <c r="A221" s="1">
        <v>45673</v>
      </c>
      <c r="B221" s="1" t="str">
        <f t="shared" si="12"/>
        <v>Thursday</v>
      </c>
      <c r="C221" s="1" t="str">
        <f t="shared" si="13"/>
        <v>January</v>
      </c>
      <c r="D221" s="1" t="str">
        <f t="shared" si="14"/>
        <v>Q1</v>
      </c>
      <c r="E221" s="1" t="str">
        <f t="shared" si="15"/>
        <v>2025</v>
      </c>
      <c r="F221" t="s">
        <v>13</v>
      </c>
      <c r="G221" s="2">
        <v>2500</v>
      </c>
      <c r="H221" s="2">
        <v>2570</v>
      </c>
      <c r="I221" s="2">
        <v>2418.85</v>
      </c>
      <c r="J221" s="2">
        <v>2388.15</v>
      </c>
      <c r="K221" s="2">
        <v>2433</v>
      </c>
      <c r="L221" s="2">
        <v>2427.85</v>
      </c>
      <c r="M221" s="2">
        <v>2461.44</v>
      </c>
      <c r="N221" s="2">
        <v>3743.9</v>
      </c>
      <c r="O221" s="2">
        <v>2025</v>
      </c>
      <c r="P221">
        <v>2841803</v>
      </c>
      <c r="Q221">
        <v>169165</v>
      </c>
    </row>
    <row r="222" spans="1:17" x14ac:dyDescent="0.35">
      <c r="A222" s="1">
        <v>45672</v>
      </c>
      <c r="B222" s="1" t="str">
        <f t="shared" si="12"/>
        <v>Wednesday</v>
      </c>
      <c r="C222" s="1" t="str">
        <f t="shared" si="13"/>
        <v>January</v>
      </c>
      <c r="D222" s="1" t="str">
        <f t="shared" si="14"/>
        <v>Q1</v>
      </c>
      <c r="E222" s="1" t="str">
        <f t="shared" si="15"/>
        <v>2025</v>
      </c>
      <c r="F222" t="s">
        <v>13</v>
      </c>
      <c r="G222" s="2">
        <v>2399</v>
      </c>
      <c r="H222" s="2">
        <v>2421.9499999999998</v>
      </c>
      <c r="I222" s="2">
        <v>2372.65</v>
      </c>
      <c r="J222" s="2">
        <v>2380.5500000000002</v>
      </c>
      <c r="K222" s="2">
        <v>2377.6999999999998</v>
      </c>
      <c r="L222" s="2">
        <v>2388.15</v>
      </c>
      <c r="M222" s="2">
        <v>2394.1</v>
      </c>
      <c r="N222" s="2">
        <v>3743.9</v>
      </c>
      <c r="O222" s="2">
        <v>2025</v>
      </c>
      <c r="P222">
        <v>1421437</v>
      </c>
      <c r="Q222">
        <v>89565</v>
      </c>
    </row>
    <row r="223" spans="1:17" x14ac:dyDescent="0.35">
      <c r="A223" s="1">
        <v>45671</v>
      </c>
      <c r="B223" s="1" t="str">
        <f t="shared" si="12"/>
        <v>Tuesday</v>
      </c>
      <c r="C223" s="1" t="str">
        <f t="shared" si="13"/>
        <v>January</v>
      </c>
      <c r="D223" s="1" t="str">
        <f t="shared" si="14"/>
        <v>Q1</v>
      </c>
      <c r="E223" s="1" t="str">
        <f t="shared" si="15"/>
        <v>2025</v>
      </c>
      <c r="F223" t="s">
        <v>13</v>
      </c>
      <c r="G223" s="2">
        <v>2241.5</v>
      </c>
      <c r="H223" s="2">
        <v>2422.9</v>
      </c>
      <c r="I223" s="2">
        <v>2241.5</v>
      </c>
      <c r="J223" s="2">
        <v>2225.15</v>
      </c>
      <c r="K223" s="2">
        <v>2382</v>
      </c>
      <c r="L223" s="2">
        <v>2380.5500000000002</v>
      </c>
      <c r="M223" s="2">
        <v>2370.6799999999998</v>
      </c>
      <c r="N223" s="2">
        <v>3743.9</v>
      </c>
      <c r="O223" s="2">
        <v>2025</v>
      </c>
      <c r="P223">
        <v>4120705</v>
      </c>
      <c r="Q223">
        <v>239191</v>
      </c>
    </row>
    <row r="224" spans="1:17" x14ac:dyDescent="0.35">
      <c r="A224" s="1">
        <v>45670</v>
      </c>
      <c r="B224" s="1" t="str">
        <f t="shared" si="12"/>
        <v>Monday</v>
      </c>
      <c r="C224" s="1" t="str">
        <f t="shared" si="13"/>
        <v>January</v>
      </c>
      <c r="D224" s="1" t="str">
        <f t="shared" si="14"/>
        <v>Q1</v>
      </c>
      <c r="E224" s="1" t="str">
        <f t="shared" si="15"/>
        <v>2025</v>
      </c>
      <c r="F224" t="s">
        <v>13</v>
      </c>
      <c r="G224" s="2">
        <v>2365</v>
      </c>
      <c r="H224" s="2">
        <v>2365</v>
      </c>
      <c r="I224" s="2">
        <v>2216.9</v>
      </c>
      <c r="J224" s="2">
        <v>2374.4</v>
      </c>
      <c r="K224" s="2">
        <v>2227</v>
      </c>
      <c r="L224" s="2">
        <v>2225.15</v>
      </c>
      <c r="M224" s="2">
        <v>2280.87</v>
      </c>
      <c r="N224" s="2">
        <v>3743.9</v>
      </c>
      <c r="O224" s="2">
        <v>2025</v>
      </c>
      <c r="P224">
        <v>1559903</v>
      </c>
      <c r="Q224">
        <v>104906</v>
      </c>
    </row>
    <row r="225" spans="1:17" x14ac:dyDescent="0.35">
      <c r="A225" s="1">
        <v>45667</v>
      </c>
      <c r="B225" s="1" t="str">
        <f t="shared" si="12"/>
        <v>Friday</v>
      </c>
      <c r="C225" s="1" t="str">
        <f t="shared" si="13"/>
        <v>January</v>
      </c>
      <c r="D225" s="1" t="str">
        <f t="shared" si="14"/>
        <v>Q1</v>
      </c>
      <c r="E225" s="1" t="str">
        <f t="shared" si="15"/>
        <v>2025</v>
      </c>
      <c r="F225" t="s">
        <v>13</v>
      </c>
      <c r="G225" s="2">
        <v>2480</v>
      </c>
      <c r="H225" s="2">
        <v>2484.6</v>
      </c>
      <c r="I225" s="2">
        <v>2368.25</v>
      </c>
      <c r="J225" s="2">
        <v>2477.9</v>
      </c>
      <c r="K225" s="2">
        <v>2380.1</v>
      </c>
      <c r="L225" s="2">
        <v>2374.4</v>
      </c>
      <c r="M225" s="2">
        <v>2407.11</v>
      </c>
      <c r="N225" s="2">
        <v>3743.9</v>
      </c>
      <c r="O225" s="2">
        <v>2025</v>
      </c>
      <c r="P225">
        <v>1418808</v>
      </c>
      <c r="Q225">
        <v>108945</v>
      </c>
    </row>
    <row r="226" spans="1:17" x14ac:dyDescent="0.35">
      <c r="A226" s="1">
        <v>45666</v>
      </c>
      <c r="B226" s="1" t="str">
        <f t="shared" si="12"/>
        <v>Thursday</v>
      </c>
      <c r="C226" s="1" t="str">
        <f t="shared" si="13"/>
        <v>January</v>
      </c>
      <c r="D226" s="1" t="str">
        <f t="shared" si="14"/>
        <v>Q1</v>
      </c>
      <c r="E226" s="1" t="str">
        <f t="shared" si="15"/>
        <v>2025</v>
      </c>
      <c r="F226" t="s">
        <v>13</v>
      </c>
      <c r="G226" s="2">
        <v>2517</v>
      </c>
      <c r="H226" s="2">
        <v>2517.5500000000002</v>
      </c>
      <c r="I226" s="2">
        <v>2469.5</v>
      </c>
      <c r="J226" s="2">
        <v>2515.25</v>
      </c>
      <c r="K226" s="2">
        <v>2484.85</v>
      </c>
      <c r="L226" s="2">
        <v>2477.9</v>
      </c>
      <c r="M226" s="2">
        <v>2487.61</v>
      </c>
      <c r="N226" s="2">
        <v>3743.9</v>
      </c>
      <c r="O226" s="2">
        <v>2025</v>
      </c>
      <c r="P226">
        <v>705838</v>
      </c>
      <c r="Q226">
        <v>60127</v>
      </c>
    </row>
    <row r="227" spans="1:17" x14ac:dyDescent="0.35">
      <c r="A227" s="1">
        <v>45665</v>
      </c>
      <c r="B227" s="1" t="str">
        <f t="shared" si="12"/>
        <v>Wednesday</v>
      </c>
      <c r="C227" s="1" t="str">
        <f t="shared" si="13"/>
        <v>January</v>
      </c>
      <c r="D227" s="1" t="str">
        <f t="shared" si="14"/>
        <v>Q1</v>
      </c>
      <c r="E227" s="1" t="str">
        <f t="shared" si="15"/>
        <v>2025</v>
      </c>
      <c r="F227" t="s">
        <v>13</v>
      </c>
      <c r="G227" s="2">
        <v>2520.5500000000002</v>
      </c>
      <c r="H227" s="2">
        <v>2530</v>
      </c>
      <c r="I227" s="2">
        <v>2490</v>
      </c>
      <c r="J227" s="2">
        <v>2520.5500000000002</v>
      </c>
      <c r="K227" s="2">
        <v>2511.1999999999998</v>
      </c>
      <c r="L227" s="2">
        <v>2515.25</v>
      </c>
      <c r="M227" s="2">
        <v>2509.14</v>
      </c>
      <c r="N227" s="2">
        <v>3743.9</v>
      </c>
      <c r="O227" s="2">
        <v>2025</v>
      </c>
      <c r="P227">
        <v>879641</v>
      </c>
      <c r="Q227">
        <v>74141</v>
      </c>
    </row>
    <row r="228" spans="1:17" x14ac:dyDescent="0.35">
      <c r="A228" s="1">
        <v>45664</v>
      </c>
      <c r="B228" s="1" t="str">
        <f t="shared" si="12"/>
        <v>Tuesday</v>
      </c>
      <c r="C228" s="1" t="str">
        <f t="shared" si="13"/>
        <v>January</v>
      </c>
      <c r="D228" s="1" t="str">
        <f t="shared" si="14"/>
        <v>Q1</v>
      </c>
      <c r="E228" s="1" t="str">
        <f t="shared" si="15"/>
        <v>2025</v>
      </c>
      <c r="F228" t="s">
        <v>13</v>
      </c>
      <c r="G228" s="2">
        <v>2474.65</v>
      </c>
      <c r="H228" s="2">
        <v>2525</v>
      </c>
      <c r="I228" s="2">
        <v>2474.65</v>
      </c>
      <c r="J228" s="2">
        <v>2474.4499999999998</v>
      </c>
      <c r="K228" s="2">
        <v>2524.8000000000002</v>
      </c>
      <c r="L228" s="2">
        <v>2520.5500000000002</v>
      </c>
      <c r="M228" s="2">
        <v>2510.58</v>
      </c>
      <c r="N228" s="2">
        <v>3743.9</v>
      </c>
      <c r="O228" s="2">
        <v>2025</v>
      </c>
      <c r="P228">
        <v>1019131</v>
      </c>
      <c r="Q228">
        <v>69952</v>
      </c>
    </row>
    <row r="229" spans="1:17" x14ac:dyDescent="0.35">
      <c r="A229" s="1">
        <v>45663</v>
      </c>
      <c r="B229" s="1" t="str">
        <f t="shared" si="12"/>
        <v>Monday</v>
      </c>
      <c r="C229" s="1" t="str">
        <f t="shared" si="13"/>
        <v>January</v>
      </c>
      <c r="D229" s="1" t="str">
        <f t="shared" si="14"/>
        <v>Q1</v>
      </c>
      <c r="E229" s="1" t="str">
        <f t="shared" si="15"/>
        <v>2025</v>
      </c>
      <c r="F229" t="s">
        <v>13</v>
      </c>
      <c r="G229" s="2">
        <v>2557.65</v>
      </c>
      <c r="H229" s="2">
        <v>2568.85</v>
      </c>
      <c r="I229" s="2">
        <v>2463.5</v>
      </c>
      <c r="J229" s="2">
        <v>2564.6</v>
      </c>
      <c r="K229" s="2">
        <v>2472</v>
      </c>
      <c r="L229" s="2">
        <v>2474.4499999999998</v>
      </c>
      <c r="M229" s="2">
        <v>2497.27</v>
      </c>
      <c r="N229" s="2">
        <v>3743.9</v>
      </c>
      <c r="O229" s="2">
        <v>2025</v>
      </c>
      <c r="P229">
        <v>1121398</v>
      </c>
      <c r="Q229">
        <v>88877</v>
      </c>
    </row>
    <row r="230" spans="1:17" x14ac:dyDescent="0.35">
      <c r="A230" s="1">
        <v>45660</v>
      </c>
      <c r="B230" s="1" t="str">
        <f t="shared" si="12"/>
        <v>Friday</v>
      </c>
      <c r="C230" s="1" t="str">
        <f t="shared" si="13"/>
        <v>January</v>
      </c>
      <c r="D230" s="1" t="str">
        <f t="shared" si="14"/>
        <v>Q1</v>
      </c>
      <c r="E230" s="1" t="str">
        <f t="shared" si="15"/>
        <v>2025</v>
      </c>
      <c r="F230" t="s">
        <v>13</v>
      </c>
      <c r="G230" s="2">
        <v>2580</v>
      </c>
      <c r="H230" s="2">
        <v>2619</v>
      </c>
      <c r="I230" s="2">
        <v>2556.6</v>
      </c>
      <c r="J230" s="2">
        <v>2597.6999999999998</v>
      </c>
      <c r="K230" s="2">
        <v>2562</v>
      </c>
      <c r="L230" s="2">
        <v>2564.6</v>
      </c>
      <c r="M230" s="2">
        <v>2589.16</v>
      </c>
      <c r="N230" s="2">
        <v>3743.9</v>
      </c>
      <c r="O230" s="2">
        <v>2025</v>
      </c>
      <c r="P230">
        <v>932795</v>
      </c>
      <c r="Q230">
        <v>52144</v>
      </c>
    </row>
    <row r="231" spans="1:17" x14ac:dyDescent="0.35">
      <c r="A231" s="1">
        <v>45659</v>
      </c>
      <c r="B231" s="1" t="str">
        <f t="shared" si="12"/>
        <v>Thursday</v>
      </c>
      <c r="C231" s="1" t="str">
        <f t="shared" si="13"/>
        <v>January</v>
      </c>
      <c r="D231" s="1" t="str">
        <f t="shared" si="14"/>
        <v>Q1</v>
      </c>
      <c r="E231" s="1" t="str">
        <f t="shared" si="15"/>
        <v>2025</v>
      </c>
      <c r="F231" t="s">
        <v>13</v>
      </c>
      <c r="G231" s="2">
        <v>2565.6999999999998</v>
      </c>
      <c r="H231" s="2">
        <v>2602</v>
      </c>
      <c r="I231" s="2">
        <v>2537</v>
      </c>
      <c r="J231" s="2">
        <v>2554.85</v>
      </c>
      <c r="K231" s="2">
        <v>2587.85</v>
      </c>
      <c r="L231" s="2">
        <v>2597.6999999999998</v>
      </c>
      <c r="M231" s="2">
        <v>2569.89</v>
      </c>
      <c r="N231" s="2">
        <v>3743.9</v>
      </c>
      <c r="O231" s="2">
        <v>2025</v>
      </c>
      <c r="P231">
        <v>1167236</v>
      </c>
      <c r="Q231">
        <v>73015</v>
      </c>
    </row>
    <row r="232" spans="1:17" x14ac:dyDescent="0.35">
      <c r="A232" s="1">
        <v>45658</v>
      </c>
      <c r="B232" s="1" t="str">
        <f t="shared" si="12"/>
        <v>Wednesday</v>
      </c>
      <c r="C232" s="1" t="str">
        <f t="shared" si="13"/>
        <v>January</v>
      </c>
      <c r="D232" s="1" t="str">
        <f t="shared" si="14"/>
        <v>Q1</v>
      </c>
      <c r="E232" s="1" t="str">
        <f t="shared" si="15"/>
        <v>2025</v>
      </c>
      <c r="F232" t="s">
        <v>13</v>
      </c>
      <c r="G232" s="2">
        <v>2536</v>
      </c>
      <c r="H232" s="2">
        <v>2644.2</v>
      </c>
      <c r="I232" s="2">
        <v>2518.25</v>
      </c>
      <c r="J232" s="2">
        <v>2528.65</v>
      </c>
      <c r="K232" s="2">
        <v>2545.9</v>
      </c>
      <c r="L232" s="2">
        <v>2554.85</v>
      </c>
      <c r="M232" s="2">
        <v>2561.31</v>
      </c>
      <c r="N232" s="2">
        <v>3743.9</v>
      </c>
      <c r="O232" s="2">
        <v>2025</v>
      </c>
      <c r="P232">
        <v>2875721</v>
      </c>
      <c r="Q232">
        <v>140672</v>
      </c>
    </row>
    <row r="233" spans="1:17" x14ac:dyDescent="0.35">
      <c r="A233" s="1">
        <v>45657</v>
      </c>
      <c r="B233" s="1" t="str">
        <f t="shared" si="12"/>
        <v>Tuesday</v>
      </c>
      <c r="C233" s="1" t="str">
        <f t="shared" si="13"/>
        <v>December</v>
      </c>
      <c r="D233" s="1" t="str">
        <f t="shared" si="14"/>
        <v>Q4</v>
      </c>
      <c r="E233" s="1" t="str">
        <f t="shared" si="15"/>
        <v>2024</v>
      </c>
      <c r="F233" t="s">
        <v>13</v>
      </c>
      <c r="G233" s="2">
        <v>2575</v>
      </c>
      <c r="H233" s="2">
        <v>2577.75</v>
      </c>
      <c r="I233" s="2">
        <v>2507.4499999999998</v>
      </c>
      <c r="J233" s="2">
        <v>2592.35</v>
      </c>
      <c r="K233" s="2">
        <v>2530</v>
      </c>
      <c r="L233" s="2">
        <v>2528.65</v>
      </c>
      <c r="M233" s="2">
        <v>2531.14</v>
      </c>
      <c r="N233" s="2">
        <v>3743.9</v>
      </c>
      <c r="O233" s="2">
        <v>2025</v>
      </c>
      <c r="P233">
        <v>2745674</v>
      </c>
      <c r="Q233">
        <v>124232</v>
      </c>
    </row>
    <row r="234" spans="1:17" x14ac:dyDescent="0.35">
      <c r="A234" s="1">
        <v>45656</v>
      </c>
      <c r="B234" s="1" t="str">
        <f t="shared" si="12"/>
        <v>Monday</v>
      </c>
      <c r="C234" s="1" t="str">
        <f t="shared" si="13"/>
        <v>December</v>
      </c>
      <c r="D234" s="1" t="str">
        <f t="shared" si="14"/>
        <v>Q4</v>
      </c>
      <c r="E234" s="1" t="str">
        <f t="shared" si="15"/>
        <v>2024</v>
      </c>
      <c r="F234" t="s">
        <v>13</v>
      </c>
      <c r="G234" s="2">
        <v>2425</v>
      </c>
      <c r="H234" s="2">
        <v>2610</v>
      </c>
      <c r="I234" s="2">
        <v>2421.9499999999998</v>
      </c>
      <c r="J234" s="2">
        <v>2409.9499999999998</v>
      </c>
      <c r="K234" s="2">
        <v>2585</v>
      </c>
      <c r="L234" s="2">
        <v>2592.35</v>
      </c>
      <c r="M234" s="2">
        <v>2549.0700000000002</v>
      </c>
      <c r="N234" s="2">
        <v>3743.9</v>
      </c>
      <c r="O234" s="2">
        <v>2025</v>
      </c>
      <c r="P234">
        <v>7825097</v>
      </c>
      <c r="Q234">
        <v>338992</v>
      </c>
    </row>
    <row r="235" spans="1:17" x14ac:dyDescent="0.35">
      <c r="A235" s="1">
        <v>45653</v>
      </c>
      <c r="B235" s="1" t="str">
        <f t="shared" si="12"/>
        <v>Friday</v>
      </c>
      <c r="C235" s="1" t="str">
        <f t="shared" si="13"/>
        <v>December</v>
      </c>
      <c r="D235" s="1" t="str">
        <f t="shared" si="14"/>
        <v>Q4</v>
      </c>
      <c r="E235" s="1" t="str">
        <f t="shared" si="15"/>
        <v>2024</v>
      </c>
      <c r="F235" t="s">
        <v>13</v>
      </c>
      <c r="G235" s="2">
        <v>2415</v>
      </c>
      <c r="H235" s="2">
        <v>2446.15</v>
      </c>
      <c r="I235" s="2">
        <v>2390.5</v>
      </c>
      <c r="J235" s="2">
        <v>2400.25</v>
      </c>
      <c r="K235" s="2">
        <v>2420</v>
      </c>
      <c r="L235" s="2">
        <v>2409.9499999999998</v>
      </c>
      <c r="M235" s="2">
        <v>2421</v>
      </c>
      <c r="N235" s="2">
        <v>3743.9</v>
      </c>
      <c r="O235" s="2">
        <v>2025</v>
      </c>
      <c r="P235">
        <v>1982291</v>
      </c>
      <c r="Q235">
        <v>73559</v>
      </c>
    </row>
    <row r="236" spans="1:17" x14ac:dyDescent="0.35">
      <c r="A236" s="1">
        <v>45652</v>
      </c>
      <c r="B236" s="1" t="str">
        <f t="shared" si="12"/>
        <v>Thursday</v>
      </c>
      <c r="C236" s="1" t="str">
        <f t="shared" si="13"/>
        <v>December</v>
      </c>
      <c r="D236" s="1" t="str">
        <f t="shared" si="14"/>
        <v>Q4</v>
      </c>
      <c r="E236" s="1" t="str">
        <f t="shared" si="15"/>
        <v>2024</v>
      </c>
      <c r="F236" t="s">
        <v>13</v>
      </c>
      <c r="G236" s="2">
        <v>2378.0500000000002</v>
      </c>
      <c r="H236" s="2">
        <v>2410</v>
      </c>
      <c r="I236" s="2">
        <v>2368</v>
      </c>
      <c r="J236" s="2">
        <v>2372.4499999999998</v>
      </c>
      <c r="K236" s="2">
        <v>2401</v>
      </c>
      <c r="L236" s="2">
        <v>2400.25</v>
      </c>
      <c r="M236" s="2">
        <v>2389.27</v>
      </c>
      <c r="N236" s="2">
        <v>3743.9</v>
      </c>
      <c r="O236" s="2">
        <v>2025</v>
      </c>
      <c r="P236">
        <v>895785</v>
      </c>
      <c r="Q236">
        <v>63476</v>
      </c>
    </row>
    <row r="237" spans="1:17" x14ac:dyDescent="0.35">
      <c r="A237" s="1">
        <v>45650</v>
      </c>
      <c r="B237" s="1" t="str">
        <f t="shared" si="12"/>
        <v>Tuesday</v>
      </c>
      <c r="C237" s="1" t="str">
        <f t="shared" si="13"/>
        <v>December</v>
      </c>
      <c r="D237" s="1" t="str">
        <f t="shared" si="14"/>
        <v>Q4</v>
      </c>
      <c r="E237" s="1" t="str">
        <f t="shared" si="15"/>
        <v>2024</v>
      </c>
      <c r="F237" t="s">
        <v>13</v>
      </c>
      <c r="G237" s="2">
        <v>2355.1999999999998</v>
      </c>
      <c r="H237" s="2">
        <v>2412.9</v>
      </c>
      <c r="I237" s="2">
        <v>2340</v>
      </c>
      <c r="J237" s="2">
        <v>2338.9499999999998</v>
      </c>
      <c r="K237" s="2">
        <v>2372</v>
      </c>
      <c r="L237" s="2">
        <v>2372.4499999999998</v>
      </c>
      <c r="M237" s="2">
        <v>2381.0500000000002</v>
      </c>
      <c r="N237" s="2">
        <v>3743.9</v>
      </c>
      <c r="O237" s="2">
        <v>2025</v>
      </c>
      <c r="P237">
        <v>1156186</v>
      </c>
      <c r="Q237">
        <v>70017</v>
      </c>
    </row>
    <row r="238" spans="1:17" x14ac:dyDescent="0.35">
      <c r="A238" s="1">
        <v>45649</v>
      </c>
      <c r="B238" s="1" t="str">
        <f t="shared" si="12"/>
        <v>Monday</v>
      </c>
      <c r="C238" s="1" t="str">
        <f t="shared" si="13"/>
        <v>December</v>
      </c>
      <c r="D238" s="1" t="str">
        <f t="shared" si="14"/>
        <v>Q4</v>
      </c>
      <c r="E238" s="1" t="str">
        <f t="shared" si="15"/>
        <v>2024</v>
      </c>
      <c r="F238" t="s">
        <v>13</v>
      </c>
      <c r="G238" s="2">
        <v>2373.9499999999998</v>
      </c>
      <c r="H238" s="2">
        <v>2379.5</v>
      </c>
      <c r="I238" s="2">
        <v>2332.75</v>
      </c>
      <c r="J238" s="2">
        <v>2344.9499999999998</v>
      </c>
      <c r="K238" s="2">
        <v>2346</v>
      </c>
      <c r="L238" s="2">
        <v>2338.9499999999998</v>
      </c>
      <c r="M238" s="2">
        <v>2351.63</v>
      </c>
      <c r="N238" s="2">
        <v>3743.9</v>
      </c>
      <c r="O238" s="2">
        <v>2025</v>
      </c>
      <c r="P238">
        <v>758920</v>
      </c>
      <c r="Q238">
        <v>54920</v>
      </c>
    </row>
    <row r="239" spans="1:17" x14ac:dyDescent="0.35">
      <c r="A239" s="1">
        <v>45646</v>
      </c>
      <c r="B239" s="1" t="str">
        <f t="shared" si="12"/>
        <v>Friday</v>
      </c>
      <c r="C239" s="1" t="str">
        <f t="shared" si="13"/>
        <v>December</v>
      </c>
      <c r="D239" s="1" t="str">
        <f t="shared" si="14"/>
        <v>Q4</v>
      </c>
      <c r="E239" s="1" t="str">
        <f t="shared" si="15"/>
        <v>2024</v>
      </c>
      <c r="F239" t="s">
        <v>13</v>
      </c>
      <c r="G239" s="2">
        <v>2429</v>
      </c>
      <c r="H239" s="2">
        <v>2453.85</v>
      </c>
      <c r="I239" s="2">
        <v>2333</v>
      </c>
      <c r="J239" s="2">
        <v>2419.35</v>
      </c>
      <c r="K239" s="2">
        <v>2349.1999999999998</v>
      </c>
      <c r="L239" s="2">
        <v>2344.9499999999998</v>
      </c>
      <c r="M239" s="2">
        <v>2403.77</v>
      </c>
      <c r="N239" s="2">
        <v>3743.9</v>
      </c>
      <c r="O239" s="2">
        <v>2025</v>
      </c>
      <c r="P239">
        <v>1337016</v>
      </c>
      <c r="Q239">
        <v>75322</v>
      </c>
    </row>
    <row r="240" spans="1:17" x14ac:dyDescent="0.35">
      <c r="A240" s="1">
        <v>45645</v>
      </c>
      <c r="B240" s="1" t="str">
        <f t="shared" si="12"/>
        <v>Thursday</v>
      </c>
      <c r="C240" s="1" t="str">
        <f t="shared" si="13"/>
        <v>December</v>
      </c>
      <c r="D240" s="1" t="str">
        <f t="shared" si="14"/>
        <v>Q4</v>
      </c>
      <c r="E240" s="1" t="str">
        <f t="shared" si="15"/>
        <v>2024</v>
      </c>
      <c r="F240" t="s">
        <v>13</v>
      </c>
      <c r="G240" s="2">
        <v>2429</v>
      </c>
      <c r="H240" s="2">
        <v>2434</v>
      </c>
      <c r="I240" s="2">
        <v>2397.1</v>
      </c>
      <c r="J240" s="2">
        <v>2457.4</v>
      </c>
      <c r="K240" s="2">
        <v>2421.9499999999998</v>
      </c>
      <c r="L240" s="2">
        <v>2419.35</v>
      </c>
      <c r="M240" s="2">
        <v>2417.59</v>
      </c>
      <c r="N240" s="2">
        <v>3743.9</v>
      </c>
      <c r="O240" s="2">
        <v>2025</v>
      </c>
      <c r="P240">
        <v>1181898</v>
      </c>
      <c r="Q240">
        <v>74211</v>
      </c>
    </row>
    <row r="241" spans="1:17" x14ac:dyDescent="0.35">
      <c r="A241" s="1">
        <v>45644</v>
      </c>
      <c r="B241" s="1" t="str">
        <f t="shared" si="12"/>
        <v>Wednesday</v>
      </c>
      <c r="C241" s="1" t="str">
        <f t="shared" si="13"/>
        <v>December</v>
      </c>
      <c r="D241" s="1" t="str">
        <f t="shared" si="14"/>
        <v>Q4</v>
      </c>
      <c r="E241" s="1" t="str">
        <f t="shared" si="15"/>
        <v>2024</v>
      </c>
      <c r="F241" t="s">
        <v>13</v>
      </c>
      <c r="G241" s="2">
        <v>2489</v>
      </c>
      <c r="H241" s="2">
        <v>2496.6</v>
      </c>
      <c r="I241" s="2">
        <v>2452</v>
      </c>
      <c r="J241" s="2">
        <v>2487.6</v>
      </c>
      <c r="K241" s="2">
        <v>2459.5500000000002</v>
      </c>
      <c r="L241" s="2">
        <v>2457.4</v>
      </c>
      <c r="M241" s="2">
        <v>2469.89</v>
      </c>
      <c r="N241" s="2">
        <v>3743.9</v>
      </c>
      <c r="O241" s="2">
        <v>2025</v>
      </c>
      <c r="P241">
        <v>990217</v>
      </c>
      <c r="Q241">
        <v>56893</v>
      </c>
    </row>
    <row r="242" spans="1:17" x14ac:dyDescent="0.35">
      <c r="A242" s="1">
        <v>45643</v>
      </c>
      <c r="B242" s="1" t="str">
        <f t="shared" si="12"/>
        <v>Tuesday</v>
      </c>
      <c r="C242" s="1" t="str">
        <f t="shared" si="13"/>
        <v>December</v>
      </c>
      <c r="D242" s="1" t="str">
        <f t="shared" si="14"/>
        <v>Q4</v>
      </c>
      <c r="E242" s="1" t="str">
        <f t="shared" si="15"/>
        <v>2024</v>
      </c>
      <c r="F242" t="s">
        <v>13</v>
      </c>
      <c r="G242" s="2">
        <v>2512</v>
      </c>
      <c r="H242" s="2">
        <v>2525</v>
      </c>
      <c r="I242" s="2">
        <v>2480.75</v>
      </c>
      <c r="J242" s="2">
        <v>2512.4</v>
      </c>
      <c r="K242" s="2">
        <v>2488.85</v>
      </c>
      <c r="L242" s="2">
        <v>2487.6</v>
      </c>
      <c r="M242" s="2">
        <v>2503.41</v>
      </c>
      <c r="N242" s="2">
        <v>3743.9</v>
      </c>
      <c r="O242" s="2">
        <v>2025</v>
      </c>
      <c r="P242">
        <v>1061891</v>
      </c>
      <c r="Q242">
        <v>52797</v>
      </c>
    </row>
    <row r="243" spans="1:17" x14ac:dyDescent="0.35">
      <c r="A243" s="1">
        <v>45642</v>
      </c>
      <c r="B243" s="1" t="str">
        <f t="shared" si="12"/>
        <v>Monday</v>
      </c>
      <c r="C243" s="1" t="str">
        <f t="shared" si="13"/>
        <v>December</v>
      </c>
      <c r="D243" s="1" t="str">
        <f t="shared" si="14"/>
        <v>Q4</v>
      </c>
      <c r="E243" s="1" t="str">
        <f t="shared" si="15"/>
        <v>2024</v>
      </c>
      <c r="F243" t="s">
        <v>13</v>
      </c>
      <c r="G243" s="2">
        <v>2530</v>
      </c>
      <c r="H243" s="2">
        <v>2537.5</v>
      </c>
      <c r="I243" s="2">
        <v>2503</v>
      </c>
      <c r="J243" s="2">
        <v>2527.5500000000002</v>
      </c>
      <c r="K243" s="2">
        <v>2507</v>
      </c>
      <c r="L243" s="2">
        <v>2512.4</v>
      </c>
      <c r="M243" s="2">
        <v>2518.0500000000002</v>
      </c>
      <c r="N243" s="2">
        <v>3743.9</v>
      </c>
      <c r="O243" s="2">
        <v>2025</v>
      </c>
      <c r="P243">
        <v>654321</v>
      </c>
      <c r="Q243">
        <v>39040</v>
      </c>
    </row>
    <row r="244" spans="1:17" x14ac:dyDescent="0.35">
      <c r="A244" s="1">
        <v>45639</v>
      </c>
      <c r="B244" s="1" t="str">
        <f t="shared" si="12"/>
        <v>Friday</v>
      </c>
      <c r="C244" s="1" t="str">
        <f t="shared" si="13"/>
        <v>December</v>
      </c>
      <c r="D244" s="1" t="str">
        <f t="shared" si="14"/>
        <v>Q4</v>
      </c>
      <c r="E244" s="1" t="str">
        <f t="shared" si="15"/>
        <v>2024</v>
      </c>
      <c r="F244" t="s">
        <v>13</v>
      </c>
      <c r="G244" s="2">
        <v>2504</v>
      </c>
      <c r="H244" s="2">
        <v>2545</v>
      </c>
      <c r="I244" s="2">
        <v>2479.0500000000002</v>
      </c>
      <c r="J244" s="2">
        <v>2504.1</v>
      </c>
      <c r="K244" s="2">
        <v>2527</v>
      </c>
      <c r="L244" s="2">
        <v>2527.5500000000002</v>
      </c>
      <c r="M244" s="2">
        <v>2516.13</v>
      </c>
      <c r="N244" s="2">
        <v>3743.9</v>
      </c>
      <c r="O244" s="2">
        <v>2025</v>
      </c>
      <c r="P244">
        <v>1940935</v>
      </c>
      <c r="Q244">
        <v>86754</v>
      </c>
    </row>
    <row r="245" spans="1:17" x14ac:dyDescent="0.35">
      <c r="A245" s="1">
        <v>45638</v>
      </c>
      <c r="B245" s="1" t="str">
        <f t="shared" si="12"/>
        <v>Thursday</v>
      </c>
      <c r="C245" s="1" t="str">
        <f t="shared" si="13"/>
        <v>December</v>
      </c>
      <c r="D245" s="1" t="str">
        <f t="shared" si="14"/>
        <v>Q4</v>
      </c>
      <c r="E245" s="1" t="str">
        <f t="shared" si="15"/>
        <v>2024</v>
      </c>
      <c r="F245" t="s">
        <v>13</v>
      </c>
      <c r="G245" s="2">
        <v>2457</v>
      </c>
      <c r="H245" s="2">
        <v>2534.8000000000002</v>
      </c>
      <c r="I245" s="2">
        <v>2446.25</v>
      </c>
      <c r="J245" s="2">
        <v>2457.25</v>
      </c>
      <c r="K245" s="2">
        <v>2504</v>
      </c>
      <c r="L245" s="2">
        <v>2504.1</v>
      </c>
      <c r="M245" s="2">
        <v>2500.62</v>
      </c>
      <c r="N245" s="2">
        <v>3743.9</v>
      </c>
      <c r="O245" s="2">
        <v>2025</v>
      </c>
      <c r="P245">
        <v>2579624</v>
      </c>
      <c r="Q245">
        <v>136426</v>
      </c>
    </row>
    <row r="246" spans="1:17" x14ac:dyDescent="0.35">
      <c r="A246" s="1">
        <v>45637</v>
      </c>
      <c r="B246" s="1" t="str">
        <f t="shared" si="12"/>
        <v>Wednesday</v>
      </c>
      <c r="C246" s="1" t="str">
        <f t="shared" si="13"/>
        <v>December</v>
      </c>
      <c r="D246" s="1" t="str">
        <f t="shared" si="14"/>
        <v>Q4</v>
      </c>
      <c r="E246" s="1" t="str">
        <f t="shared" si="15"/>
        <v>2024</v>
      </c>
      <c r="F246" t="s">
        <v>13</v>
      </c>
      <c r="G246" s="2">
        <v>2469</v>
      </c>
      <c r="H246" s="2">
        <v>2480</v>
      </c>
      <c r="I246" s="2">
        <v>2451</v>
      </c>
      <c r="J246" s="2">
        <v>2467.1999999999998</v>
      </c>
      <c r="K246" s="2">
        <v>2455</v>
      </c>
      <c r="L246" s="2">
        <v>2457.25</v>
      </c>
      <c r="M246" s="2">
        <v>2461.5700000000002</v>
      </c>
      <c r="N246" s="2">
        <v>3743.9</v>
      </c>
      <c r="O246" s="2">
        <v>2025</v>
      </c>
      <c r="P246">
        <v>712674</v>
      </c>
      <c r="Q246">
        <v>43901</v>
      </c>
    </row>
    <row r="247" spans="1:17" x14ac:dyDescent="0.35">
      <c r="A247" s="1">
        <v>45636</v>
      </c>
      <c r="B247" s="1" t="str">
        <f t="shared" si="12"/>
        <v>Tuesday</v>
      </c>
      <c r="C247" s="1" t="str">
        <f t="shared" si="13"/>
        <v>December</v>
      </c>
      <c r="D247" s="1" t="str">
        <f t="shared" si="14"/>
        <v>Q4</v>
      </c>
      <c r="E247" s="1" t="str">
        <f t="shared" si="15"/>
        <v>2024</v>
      </c>
      <c r="F247" t="s">
        <v>13</v>
      </c>
      <c r="G247" s="2">
        <v>2501</v>
      </c>
      <c r="H247" s="2">
        <v>2501</v>
      </c>
      <c r="I247" s="2">
        <v>2455</v>
      </c>
      <c r="J247" s="2">
        <v>2495.85</v>
      </c>
      <c r="K247" s="2">
        <v>2467.5</v>
      </c>
      <c r="L247" s="2">
        <v>2467.1999999999998</v>
      </c>
      <c r="M247" s="2">
        <v>2473.87</v>
      </c>
      <c r="N247" s="2">
        <v>3743.9</v>
      </c>
      <c r="O247" s="2">
        <v>2025</v>
      </c>
      <c r="P247">
        <v>1119844</v>
      </c>
      <c r="Q247">
        <v>56796</v>
      </c>
    </row>
    <row r="248" spans="1:17" x14ac:dyDescent="0.35">
      <c r="A248" s="1">
        <v>45635</v>
      </c>
      <c r="B248" s="1" t="str">
        <f t="shared" si="12"/>
        <v>Monday</v>
      </c>
      <c r="C248" s="1" t="str">
        <f t="shared" si="13"/>
        <v>December</v>
      </c>
      <c r="D248" s="1" t="str">
        <f t="shared" si="14"/>
        <v>Q4</v>
      </c>
      <c r="E248" s="1" t="str">
        <f t="shared" si="15"/>
        <v>2024</v>
      </c>
      <c r="F248" t="s">
        <v>13</v>
      </c>
      <c r="G248" s="2">
        <v>2507.9</v>
      </c>
      <c r="H248" s="2">
        <v>2526</v>
      </c>
      <c r="I248" s="2">
        <v>2483.15</v>
      </c>
      <c r="J248" s="2">
        <v>2506.4</v>
      </c>
      <c r="K248" s="2">
        <v>2494.8000000000002</v>
      </c>
      <c r="L248" s="2">
        <v>2495.85</v>
      </c>
      <c r="M248" s="2">
        <v>2503.59</v>
      </c>
      <c r="N248" s="2">
        <v>3743.9</v>
      </c>
      <c r="O248" s="2">
        <v>2025</v>
      </c>
      <c r="P248">
        <v>958369</v>
      </c>
      <c r="Q248">
        <v>53488</v>
      </c>
    </row>
    <row r="249" spans="1:17" x14ac:dyDescent="0.35">
      <c r="A249" s="1">
        <v>45632</v>
      </c>
      <c r="B249" s="1" t="str">
        <f t="shared" si="12"/>
        <v>Friday</v>
      </c>
      <c r="C249" s="1" t="str">
        <f t="shared" si="13"/>
        <v>December</v>
      </c>
      <c r="D249" s="1" t="str">
        <f t="shared" si="14"/>
        <v>Q4</v>
      </c>
      <c r="E249" s="1" t="str">
        <f t="shared" si="15"/>
        <v>2024</v>
      </c>
      <c r="F249" t="s">
        <v>13</v>
      </c>
      <c r="G249" s="2">
        <v>2520</v>
      </c>
      <c r="H249" s="2">
        <v>2535</v>
      </c>
      <c r="I249" s="2">
        <v>2502.5</v>
      </c>
      <c r="J249" s="2">
        <v>2522.5500000000002</v>
      </c>
      <c r="K249" s="2">
        <v>2504.9</v>
      </c>
      <c r="L249" s="2">
        <v>2506.4</v>
      </c>
      <c r="M249" s="2">
        <v>2517.4299999999998</v>
      </c>
      <c r="N249" s="2">
        <v>3743.9</v>
      </c>
      <c r="O249" s="2">
        <v>2025</v>
      </c>
      <c r="P249">
        <v>1240437</v>
      </c>
      <c r="Q249">
        <v>56172</v>
      </c>
    </row>
    <row r="250" spans="1:17" x14ac:dyDescent="0.35">
      <c r="A250" s="1">
        <v>45631</v>
      </c>
      <c r="B250" s="1" t="str">
        <f t="shared" si="12"/>
        <v>Thursday</v>
      </c>
      <c r="C250" s="1" t="str">
        <f t="shared" si="13"/>
        <v>December</v>
      </c>
      <c r="D250" s="1" t="str">
        <f t="shared" si="14"/>
        <v>Q4</v>
      </c>
      <c r="E250" s="1" t="str">
        <f t="shared" si="15"/>
        <v>2024</v>
      </c>
      <c r="F250" t="s">
        <v>13</v>
      </c>
      <c r="G250" s="2">
        <v>2505</v>
      </c>
      <c r="H250" s="2">
        <v>2538.15</v>
      </c>
      <c r="I250" s="2">
        <v>2470.25</v>
      </c>
      <c r="J250" s="2">
        <v>2494.75</v>
      </c>
      <c r="K250" s="2">
        <v>2520.9</v>
      </c>
      <c r="L250" s="2">
        <v>2522.5500000000002</v>
      </c>
      <c r="M250" s="2">
        <v>2504.4</v>
      </c>
      <c r="N250" s="2">
        <v>3743.9</v>
      </c>
      <c r="O250" s="2">
        <v>2025</v>
      </c>
      <c r="P250">
        <v>3333144</v>
      </c>
      <c r="Q250">
        <v>160996</v>
      </c>
    </row>
    <row r="251" spans="1:17" x14ac:dyDescent="0.35">
      <c r="A251" s="1">
        <v>45630</v>
      </c>
      <c r="B251" s="1" t="str">
        <f t="shared" si="12"/>
        <v>Wednesday</v>
      </c>
      <c r="C251" s="1" t="str">
        <f t="shared" si="13"/>
        <v>December</v>
      </c>
      <c r="D251" s="1" t="str">
        <f t="shared" si="14"/>
        <v>Q4</v>
      </c>
      <c r="E251" s="1" t="str">
        <f t="shared" si="15"/>
        <v>2024</v>
      </c>
      <c r="F251" t="s">
        <v>13</v>
      </c>
      <c r="G251" s="2">
        <v>2528</v>
      </c>
      <c r="H251" s="2">
        <v>2530.0500000000002</v>
      </c>
      <c r="I251" s="2">
        <v>2470.1</v>
      </c>
      <c r="J251" s="2">
        <v>2514.1999999999998</v>
      </c>
      <c r="K251" s="2">
        <v>2485</v>
      </c>
      <c r="L251" s="2">
        <v>2494.75</v>
      </c>
      <c r="M251" s="2">
        <v>2496.08</v>
      </c>
      <c r="N251" s="2">
        <v>3743.9</v>
      </c>
      <c r="O251" s="2">
        <v>2025</v>
      </c>
      <c r="P251">
        <v>2344949</v>
      </c>
      <c r="Q251">
        <v>110526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Quote-Equity-ADANIENT-EQ-04-12-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sanskar pandey</cp:lastModifiedBy>
  <dcterms:created xsi:type="dcterms:W3CDTF">2025-12-04T14:46:41Z</dcterms:created>
  <dcterms:modified xsi:type="dcterms:W3CDTF">2025-12-04T15:01:58Z</dcterms:modified>
</cp:coreProperties>
</file>